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3755" yWindow="-16320" windowWidth="29040" windowHeight="15720" tabRatio="500" firstSheet="3" activeTab="10" autoFilterDateGrouping="1"/>
  </bookViews>
  <sheets>
    <sheet xmlns:r="http://schemas.openxmlformats.org/officeDocument/2006/relationships" name="README" sheetId="1" state="visible" r:id="rId1"/>
    <sheet xmlns:r="http://schemas.openxmlformats.org/officeDocument/2006/relationships" name="Calibration" sheetId="2" state="visible" r:id="rId2"/>
    <sheet xmlns:r="http://schemas.openxmlformats.org/officeDocument/2006/relationships" name="A(P1a)" sheetId="3" state="visible" r:id="rId3"/>
    <sheet xmlns:r="http://schemas.openxmlformats.org/officeDocument/2006/relationships" name="A(P1b)" sheetId="4" state="visible" r:id="rId4"/>
    <sheet xmlns:r="http://schemas.openxmlformats.org/officeDocument/2006/relationships" name="A(P2a)" sheetId="5" state="visible" r:id="rId5"/>
    <sheet xmlns:r="http://schemas.openxmlformats.org/officeDocument/2006/relationships" name="A(P2b)" sheetId="6" state="visible" r:id="rId6"/>
    <sheet xmlns:r="http://schemas.openxmlformats.org/officeDocument/2006/relationships" name="Summary" sheetId="7" state="visible" r:id="rId7"/>
    <sheet xmlns:r="http://schemas.openxmlformats.org/officeDocument/2006/relationships" name="Run details" sheetId="8" state="visible" r:id="rId8"/>
    <sheet xmlns:r="http://schemas.openxmlformats.org/officeDocument/2006/relationships" name="Human scores" sheetId="9" state="visible" r:id="rId9"/>
    <sheet xmlns:r="http://schemas.openxmlformats.org/officeDocument/2006/relationships" name="Human findings" sheetId="10" state="visible" r:id="rId10"/>
    <sheet xmlns:r="http://schemas.openxmlformats.org/officeDocument/2006/relationships" name="Model vs human" sheetId="11" state="visible" r:id="rId11"/>
  </sheets>
  <definedNames/>
  <calcPr calcId="191029" fullCalcOnLoad="1" iterateDelta="0.0001"/>
</workbook>
</file>

<file path=xl/styles.xml><?xml version="1.0" encoding="utf-8"?>
<styleSheet xmlns="http://schemas.openxmlformats.org/spreadsheetml/2006/main">
  <numFmts count="0"/>
  <fonts count="7">
    <font>
      <name val="Calibri"/>
      <charset val="1"/>
      <family val="2"/>
      <color theme="1"/>
      <sz val="11"/>
    </font>
    <font>
      <name val="Arial"/>
      <charset val="1"/>
      <b val="1"/>
      <sz val="13"/>
    </font>
    <font>
      <name val="Arial"/>
      <charset val="1"/>
      <sz val="10"/>
    </font>
    <font>
      <name val="Arial"/>
      <charset val="1"/>
      <b val="1"/>
      <sz val="10"/>
    </font>
    <font>
      <name val="Arial"/>
      <charset val="1"/>
      <color rgb="FF0000FF"/>
      <sz val="10"/>
    </font>
    <font>
      <name val="Arial"/>
      <charset val="1"/>
      <b val="1"/>
      <sz val="12"/>
    </font>
    <font>
      <name val="Calibri"/>
      <b val="1"/>
      <sz val="11"/>
    </font>
  </fonts>
  <fills count="6">
    <fill>
      <patternFill/>
    </fill>
    <fill>
      <patternFill patternType="gray125"/>
    </fill>
    <fill>
      <patternFill patternType="solid">
        <fgColor rgb="FFF2F2F2"/>
        <bgColor rgb="FFFFFFCC"/>
      </patternFill>
    </fill>
    <fill>
      <patternFill patternType="solid">
        <fgColor rgb="FFFFFF00"/>
        <bgColor rgb="FFFFFF00"/>
      </patternFill>
    </fill>
    <fill>
      <patternFill patternType="solid">
        <fgColor rgb="FFF2F2F2"/>
      </patternFill>
    </fill>
    <fill>
      <patternFill patternType="solid">
        <f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3" fillId="2" borderId="1" pivotButton="0" quotePrefix="0" xfId="0"/>
    <xf numFmtId="0" fontId="2" fillId="2" borderId="1" pivotButton="0" quotePrefix="0" xfId="0"/>
    <xf numFmtId="0" fontId="2" fillId="0" borderId="1" pivotButton="0" quotePrefix="0" xfId="0"/>
    <xf numFmtId="0" fontId="4" fillId="3" borderId="1" pivotButton="0" quotePrefix="0" xfId="0"/>
    <xf numFmtId="0" fontId="5" fillId="0" borderId="0" pivotButton="0" quotePrefix="0" xfId="0"/>
    <xf numFmtId="0" fontId="3" fillId="0" borderId="1" pivotButton="0" quotePrefix="0" xfId="0"/>
    <xf numFmtId="0" fontId="2" fillId="3" borderId="1" pivotButton="0" quotePrefix="0" xfId="0"/>
    <xf numFmtId="15" fontId="4" fillId="3" borderId="1" pivotButton="0" quotePrefix="0" xfId="0"/>
    <xf numFmtId="14" fontId="4" fillId="3" borderId="1" pivotButton="0" quotePrefix="0" xfId="0"/>
    <xf numFmtId="0" fontId="4" fillId="3" borderId="1" applyAlignment="1" pivotButton="0" quotePrefix="0" xfId="0">
      <alignment wrapText="1"/>
    </xf>
    <xf numFmtId="0" fontId="2" fillId="3" borderId="1" applyAlignment="1" pivotButton="0" quotePrefix="0" xfId="0">
      <alignment wrapText="1"/>
    </xf>
    <xf numFmtId="0" fontId="6" fillId="0" borderId="0" pivotButton="0" quotePrefix="0" xfId="0"/>
    <xf numFmtId="0" fontId="6" fillId="4" borderId="0" pivotButton="0" quotePrefix="0" xfId="0"/>
    <xf numFmtId="0" fontId="0" fillId="5" borderId="0" pivotButton="0" quotePrefix="0" xfId="0"/>
  </cellXfs>
  <cellStyles count="1">
    <cellStyle name="Normal" xfId="0" builtinId="0"/>
  </cellStyles>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zoomScaleNormal="100" workbookViewId="0">
      <selection activeCell="B19" sqref="B19"/>
    </sheetView>
  </sheetViews>
  <sheetFormatPr baseColWidth="8" defaultColWidth="8.6328125" defaultRowHeight="14.5"/>
  <cols>
    <col width="16" customWidth="1" min="1" max="1"/>
    <col width="110" customWidth="1" min="2" max="2"/>
  </cols>
  <sheetData>
    <row r="1" ht="16.5" customHeight="1">
      <c r="A1" s="1" t="inlineStr">
        <is>
          <t>SCORE-01  Scoring Workbook</t>
        </is>
      </c>
      <c r="B1" s="2" t="n"/>
    </row>
    <row r="2" ht="25" customHeight="1">
      <c r="A2" s="3" t="inlineStr">
        <is>
          <t>Purpose</t>
        </is>
      </c>
      <c r="B2" s="2" t="inlineStr">
        <is>
          <t>One workbook holds every score the study produces: model calibration, the four Phase 2 audits and the Phase 4 human reviews. Phase 3 was not run, so no re-audit sheet exists. Phase 5 reads its comparisons from the Summary sheet and from Model vs human, under the rules fixed in 74_ANL-01_Analysis_Plan_v1.0.docx.</t>
        </is>
      </c>
    </row>
    <row r="3" ht="25" customHeight="1">
      <c r="A3" s="3" t="inlineStr">
        <is>
          <t>How to use</t>
        </is>
      </c>
      <c r="B3" s="2" t="inlineStr">
        <is>
          <t>Enter scores only in the yellow cells. Black cells carry formulas and are not edited. One sheet per audit; findings go in the findings block beneath the scores.</t>
        </is>
      </c>
    </row>
    <row r="4" ht="25" customHeight="1">
      <c r="A4" s="3" t="inlineStr">
        <is>
          <t>Scoring rule</t>
        </is>
      </c>
      <c r="B4" s="2" t="inlineStr">
        <is>
          <t>Requirement-area score = coverage x 0.35 + accuracy x 0.25 + proportionality x 0.20 + enforceability x 0.20. Policy score = mean of the four areas. Round only at these two points.</t>
        </is>
      </c>
    </row>
    <row r="5" ht="25" customHeight="1">
      <c r="A5" s="3" t="inlineStr">
        <is>
          <t>Source of truth</t>
        </is>
      </c>
      <c r="B5" s="2" t="inlineStr">
        <is>
          <t>The rubric is 21_RUB-01_Evaluation_Rubric_and_Scoring_Guide_v8.1.docx. Where this workbook and the rubric differ, the rubric governs.</t>
        </is>
      </c>
    </row>
    <row r="6">
      <c r="A6" s="3" t="inlineStr">
        <is>
          <t>Example</t>
        </is>
      </c>
      <c r="B6" s="2" t="inlineStr">
        <is>
          <t>The Calibration sheet carries one filled example row (greyed) showing the expected format. It reproduces the Extract 1 figures printed at RUB-01 D.9, so that the row reconciles with the reference score of 47 rather than contradicting it. It is illustration, not data.</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K12"/>
  <sheetViews>
    <sheetView zoomScale="130" zoomScaleNormal="130" workbookViewId="0">
      <selection activeCell="A7" sqref="A7:K12"/>
    </sheetView>
  </sheetViews>
  <sheetFormatPr baseColWidth="8" defaultColWidth="8.6328125" defaultRowHeight="14.5"/>
  <cols>
    <col width="22" customWidth="1" min="1" max="1"/>
    <col width="8" customWidth="1" min="2" max="2"/>
    <col width="10" customWidth="1" min="3" max="4"/>
    <col width="14" customWidth="1" min="5" max="6"/>
    <col width="11" customWidth="1" min="7" max="7"/>
    <col width="10" customWidth="1" min="8" max="8"/>
    <col width="11" customWidth="1" min="9" max="9"/>
    <col width="12" customWidth="1" min="10" max="10"/>
    <col width="64" customWidth="1" min="11" max="11"/>
  </cols>
  <sheetData>
    <row r="1">
      <c r="A1" s="4" t="inlineStr">
        <is>
          <t>Rater</t>
        </is>
      </c>
      <c r="B1" s="4" t="inlineStr">
        <is>
          <t>Extract</t>
        </is>
      </c>
      <c r="C1" s="4" t="inlineStr">
        <is>
          <t>Coverage</t>
        </is>
      </c>
      <c r="D1" s="4" t="inlineStr">
        <is>
          <t>Accuracy</t>
        </is>
      </c>
      <c r="E1" s="4" t="inlineStr">
        <is>
          <t>Proportionality</t>
        </is>
      </c>
      <c r="F1" s="4" t="inlineStr">
        <is>
          <t>Enforceability</t>
        </is>
      </c>
      <c r="G1" s="4" t="inlineStr">
        <is>
          <t>Area score</t>
        </is>
      </c>
      <c r="H1" s="4" t="inlineStr">
        <is>
          <t>Reference</t>
        </is>
      </c>
      <c r="I1" s="4" t="inlineStr">
        <is>
          <t>Difference</t>
        </is>
      </c>
      <c r="J1" s="4" t="inlineStr">
        <is>
          <t>Date</t>
        </is>
      </c>
      <c r="K1" s="4" t="inlineStr">
        <is>
          <t>Notes</t>
        </is>
      </c>
    </row>
    <row r="2">
      <c r="A2" s="5" t="inlineStr">
        <is>
          <t>EXAMPLE (illustration)</t>
        </is>
      </c>
      <c r="B2" s="5" t="inlineStr">
        <is>
          <t>1</t>
        </is>
      </c>
      <c r="C2" s="5" t="n">
        <v>13</v>
      </c>
      <c r="D2" s="5" t="n">
        <v>90</v>
      </c>
      <c r="E2" s="5" t="n">
        <v>70</v>
      </c>
      <c r="F2" s="5" t="n">
        <v>30</v>
      </c>
      <c r="G2" s="5">
        <f>IF(COUNT(C2:F2)=4,ROUND(C2*0.35+D2*0.25+E2*0.2+F2*0.2,0),"")</f>
        <v/>
      </c>
      <c r="H2" s="5" t="inlineStr">
        <is>
          <t>47</t>
        </is>
      </c>
      <c r="I2" s="5">
        <f>IF(G2="","",G2-H2)</f>
        <v/>
      </c>
      <c r="J2" s="5" t="inlineStr">
        <is>
          <t>2026-08-18</t>
        </is>
      </c>
      <c r="K2" s="5" t="inlineStr">
        <is>
          <t>Illustration only. These are the Extract 1 figures printed at RUB-01 D.9, which give an area score of 47 and so reconcile with the reference in column H. No rater entered this row.</t>
        </is>
      </c>
    </row>
    <row r="3" ht="38.5" customHeight="1">
      <c r="A3" s="6" t="inlineStr">
        <is>
          <t>ChatGPT</t>
        </is>
      </c>
      <c r="B3" s="6" t="inlineStr">
        <is>
          <t>1</t>
        </is>
      </c>
      <c r="C3" s="7" t="n">
        <v>13</v>
      </c>
      <c r="D3" s="7" t="n">
        <v>90</v>
      </c>
      <c r="E3" s="7" t="n">
        <v>55</v>
      </c>
      <c r="F3" s="7" t="n">
        <v>30</v>
      </c>
      <c r="G3" s="6">
        <f>IF(COUNT(C3:F3)=4,ROUND(C3*0.35+D3*0.25+E3*0.2+F3*0.2,0),"")</f>
        <v/>
      </c>
      <c r="H3" s="6">
        <f>IF(B3="1",47,73)</f>
        <v/>
      </c>
      <c r="I3" s="6">
        <f>IF(G3="","",G3-H3)</f>
        <v/>
      </c>
      <c r="J3" s="11" t="inlineStr">
        <is>
          <t>22 Aug 2026</t>
        </is>
      </c>
      <c r="K3" s="13" t="inlineStr">
        <is>
          <t>Re-run against RUB-01 v8.1. Coverage 13 and accuracy 90 match the reference exactly, as does enforceability at 30; proportionality was entered at 55 against a reference of 70, and that single band step accounts for the whole of the 3-point shortfall, the area score being 44 against 47.</t>
        </is>
      </c>
    </row>
    <row r="4" ht="38.5" customHeight="1">
      <c r="A4" s="6" t="inlineStr">
        <is>
          <t>ChatGPT</t>
        </is>
      </c>
      <c r="B4" s="6" t="inlineStr">
        <is>
          <t>2</t>
        </is>
      </c>
      <c r="C4" s="7" t="n">
        <v>46</v>
      </c>
      <c r="D4" s="7" t="n">
        <v>90</v>
      </c>
      <c r="E4" s="7" t="n">
        <v>75</v>
      </c>
      <c r="F4" s="7" t="n">
        <v>90</v>
      </c>
      <c r="G4" s="6">
        <f>IF(COUNT(C4:F4)=4,ROUND(C4*0.35+D4*0.25+E4*0.2+F4*0.2,0),"")</f>
        <v/>
      </c>
      <c r="H4" s="6">
        <f>IF(B4="1",47,73)</f>
        <v/>
      </c>
      <c r="I4" s="6">
        <f>IF(G4="","",G4-H4)</f>
        <v/>
      </c>
      <c r="J4" s="11" t="inlineStr">
        <is>
          <t>22 Aug 2026</t>
        </is>
      </c>
      <c r="K4" s="13" t="inlineStr">
        <is>
          <t>Re-run against RUB-01 v8.1. Coverage 46 and accuracy 90 match the reference exactly. Proportionality at 75 sits below the reference of 90 and enforceability at 90 sits above the reference of 80, so the two largely offset and the area score is 72 against 73.</t>
        </is>
      </c>
    </row>
    <row r="5" ht="38.5" customHeight="1">
      <c r="A5" s="6" t="inlineStr">
        <is>
          <t>Grok</t>
        </is>
      </c>
      <c r="B5" s="6" t="inlineStr">
        <is>
          <t>1</t>
        </is>
      </c>
      <c r="C5" s="7" t="n">
        <v>13</v>
      </c>
      <c r="D5" s="7" t="n">
        <v>90</v>
      </c>
      <c r="E5" s="7" t="n">
        <v>90</v>
      </c>
      <c r="F5" s="7" t="n">
        <v>30</v>
      </c>
      <c r="G5" s="6">
        <f>IF(COUNT(C5:F5)=4,ROUND(C5*0.35+D5*0.25+E5*0.2+F5*0.2,0),"")</f>
        <v/>
      </c>
      <c r="H5" s="6">
        <f>IF(B5="1",47,73)</f>
        <v/>
      </c>
      <c r="I5" s="6">
        <f>IF(G5="","",G5-H5)</f>
        <v/>
      </c>
      <c r="J5" s="11" t="inlineStr">
        <is>
          <t>22 Aug 2026</t>
        </is>
      </c>
      <c r="K5" s="13" t="inlineStr">
        <is>
          <t>Re-run against RUB-01 v8.1. Coverage 13, accuracy 90 and enforceability 30 all match the reference exactly; proportionality at 90 sits one band above the reference of 70, giving an area score of 51 against 47.</t>
        </is>
      </c>
    </row>
    <row r="6" ht="38.5" customHeight="1">
      <c r="A6" s="6" t="inlineStr">
        <is>
          <t>Grok</t>
        </is>
      </c>
      <c r="B6" s="6" t="inlineStr">
        <is>
          <t>2</t>
        </is>
      </c>
      <c r="C6" s="7" t="n">
        <v>47</v>
      </c>
      <c r="D6" s="7" t="n">
        <v>90</v>
      </c>
      <c r="E6" s="7" t="n">
        <v>70</v>
      </c>
      <c r="F6" s="7" t="n">
        <v>70</v>
      </c>
      <c r="G6" s="6">
        <f>IF(COUNT(C6:F6)=4,ROUND(C6*0.35+D6*0.25+E6*0.2+F6*0.2,0),"")</f>
        <v/>
      </c>
      <c r="H6" s="6">
        <f>IF(B6="1",47,73)</f>
        <v/>
      </c>
      <c r="I6" s="6">
        <f>IF(G6="","",G6-H6)</f>
        <v/>
      </c>
      <c r="J6" s="11" t="inlineStr">
        <is>
          <t>22 Aug 2026</t>
        </is>
      </c>
      <c r="K6" s="13" t="inlineStr">
        <is>
          <t>Re-run against RUB-01 v8.1. Coverage 47 against a reference of 46, a difference of one checklist point on a denominator of 72, being 24 applicable sub-requirements at three points each; accuracy 90 matches. Proportionality at 70 and enforceability at 70 both sit one band below the reference values of 90 and 80, giving an area score of 67 against 73.</t>
        </is>
      </c>
    </row>
    <row r="7">
      <c r="A7" s="6" t="inlineStr">
        <is>
          <t>R1</t>
        </is>
      </c>
      <c r="B7" s="6" t="inlineStr">
        <is>
          <t>1</t>
        </is>
      </c>
      <c r="C7" s="7" t="n">
        <v>13</v>
      </c>
      <c r="D7" s="7" t="n">
        <v>90</v>
      </c>
      <c r="E7" s="7" t="n">
        <v>65</v>
      </c>
      <c r="F7" s="7" t="n">
        <v>25</v>
      </c>
      <c r="G7" s="6">
        <f>IF(COUNT(C7:F7)=4,ROUND(C7*0.35+D7*0.25+E7*0.2+F7*0.2,0),"")</f>
        <v/>
      </c>
      <c r="H7" s="6">
        <f>IF(B7="1",47,73)</f>
        <v/>
      </c>
      <c r="I7" s="6">
        <f>IF(G7="","",G7-H7)</f>
        <v/>
      </c>
      <c r="J7" s="11" t="inlineStr">
        <is>
          <t>22 Aug 2026</t>
        </is>
      </c>
      <c r="K7" s="13" t="inlineStr">
        <is>
          <t>Phase 4 reviewer calibration, RUB-01 v8.1</t>
        </is>
      </c>
    </row>
    <row r="8">
      <c r="A8" s="6" t="inlineStr">
        <is>
          <t>R1</t>
        </is>
      </c>
      <c r="B8" s="6" t="inlineStr">
        <is>
          <t>2</t>
        </is>
      </c>
      <c r="C8" s="7" t="n">
        <v>46</v>
      </c>
      <c r="D8" s="7" t="n">
        <v>90</v>
      </c>
      <c r="E8" s="7" t="n">
        <v>90</v>
      </c>
      <c r="F8" s="7" t="n">
        <v>75</v>
      </c>
      <c r="G8" s="6">
        <f>IF(COUNT(C8:F8)=4,ROUND(C8*0.35+D8*0.25+E8*0.2+F8*0.2,0),"")</f>
        <v/>
      </c>
      <c r="H8" s="6">
        <f>IF(B8="1",47,73)</f>
        <v/>
      </c>
      <c r="I8" s="6">
        <f>IF(G8="","",G8-H8)</f>
        <v/>
      </c>
      <c r="J8" s="11" t="inlineStr">
        <is>
          <t>22 Aug 2026</t>
        </is>
      </c>
      <c r="K8" s="13" t="inlineStr">
        <is>
          <t>Phase 4 reviewer calibration, RUB-01 v8.1</t>
        </is>
      </c>
    </row>
    <row r="9">
      <c r="A9" s="6" t="inlineStr">
        <is>
          <t>R2</t>
        </is>
      </c>
      <c r="B9" s="6" t="inlineStr">
        <is>
          <t>1</t>
        </is>
      </c>
      <c r="C9" s="7" t="n">
        <v>11</v>
      </c>
      <c r="D9" s="7" t="n">
        <v>90</v>
      </c>
      <c r="E9" s="7" t="n">
        <v>70</v>
      </c>
      <c r="F9" s="7" t="n">
        <v>30</v>
      </c>
      <c r="G9" s="6">
        <f>IF(COUNT(C9:F9)=4,ROUND(C9*0.35+D9*0.25+E9*0.2+F9*0.2,0),"")</f>
        <v/>
      </c>
      <c r="H9" s="6">
        <f>IF(B9="1",47,73)</f>
        <v/>
      </c>
      <c r="I9" s="6">
        <f>IF(G9="","",G9-H9)</f>
        <v/>
      </c>
      <c r="J9" s="11" t="inlineStr">
        <is>
          <t>22 Aug 2026</t>
        </is>
      </c>
      <c r="K9" s="13" t="inlineStr">
        <is>
          <t>Phase 4 reviewer calibration, RUB-01 v8.1</t>
        </is>
      </c>
    </row>
    <row r="10">
      <c r="A10" s="6" t="inlineStr">
        <is>
          <t>R2</t>
        </is>
      </c>
      <c r="B10" s="6" t="inlineStr">
        <is>
          <t>2</t>
        </is>
      </c>
      <c r="C10" s="7" t="n">
        <v>46</v>
      </c>
      <c r="D10" s="7" t="n">
        <v>90</v>
      </c>
      <c r="E10" s="7" t="n">
        <v>90</v>
      </c>
      <c r="F10" s="7" t="n">
        <v>80</v>
      </c>
      <c r="G10" s="6">
        <f>IF(COUNT(C10:F10)=4,ROUND(C10*0.35+D10*0.25+E10*0.2+F10*0.2,0),"")</f>
        <v/>
      </c>
      <c r="H10" s="6">
        <f>IF(B10="1",47,73)</f>
        <v/>
      </c>
      <c r="I10" s="6">
        <f>IF(G10="","",G10-H10)</f>
        <v/>
      </c>
      <c r="J10" s="11" t="inlineStr">
        <is>
          <t>22 Aug 2026</t>
        </is>
      </c>
      <c r="K10" s="13" t="inlineStr">
        <is>
          <t>Phase 4 reviewer calibration, RUB-01 v8.1</t>
        </is>
      </c>
    </row>
    <row r="11">
      <c r="A11" s="6" t="inlineStr">
        <is>
          <t>R3</t>
        </is>
      </c>
      <c r="B11" s="6" t="inlineStr">
        <is>
          <t>1</t>
        </is>
      </c>
      <c r="C11" s="7" t="n">
        <v>13</v>
      </c>
      <c r="D11" s="7" t="n">
        <v>90</v>
      </c>
      <c r="E11" s="7" t="n">
        <v>65</v>
      </c>
      <c r="F11" s="7" t="n">
        <v>30</v>
      </c>
      <c r="G11" s="6">
        <f>IF(COUNT(C11:F11)=4,ROUND(C11*0.35+D11*0.25+E11*0.2+F11*0.2,0),"")</f>
        <v/>
      </c>
      <c r="H11" s="6">
        <f>IF(B11="1",47,73)</f>
        <v/>
      </c>
      <c r="I11" s="6">
        <f>IF(G11="","",G11-H11)</f>
        <v/>
      </c>
      <c r="J11" s="11" t="inlineStr">
        <is>
          <t>22 Aug 2026</t>
        </is>
      </c>
      <c r="K11" s="13" t="inlineStr">
        <is>
          <t>Phase 4 reviewer calibration, RUB-01 v8.1</t>
        </is>
      </c>
    </row>
    <row r="12">
      <c r="A12" s="6" t="inlineStr">
        <is>
          <t>R3</t>
        </is>
      </c>
      <c r="B12" s="6" t="inlineStr">
        <is>
          <t>2</t>
        </is>
      </c>
      <c r="C12" s="7" t="n">
        <v>46</v>
      </c>
      <c r="D12" s="7" t="n">
        <v>90</v>
      </c>
      <c r="E12" s="7" t="n">
        <v>90</v>
      </c>
      <c r="F12" s="7" t="n">
        <v>80</v>
      </c>
      <c r="G12" s="6">
        <f>IF(COUNT(C12:F12)=4,ROUND(C12*0.35+D12*0.25+E12*0.2+F12*0.2,0),"")</f>
        <v/>
      </c>
      <c r="H12" s="6">
        <f>IF(B12="1",47,73)</f>
        <v/>
      </c>
      <c r="I12" s="6">
        <f>IF(G12="","",G12-H12)</f>
        <v/>
      </c>
      <c r="J12" s="11" t="inlineStr">
        <is>
          <t>22 Aug 2026</t>
        </is>
      </c>
      <c r="K12" s="13" t="inlineStr">
        <is>
          <t>Phase 4 reviewer calibration, RUB-01 v8.1</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31"/>
  <sheetViews>
    <sheetView topLeftCell="A16" zoomScaleNormal="100" workbookViewId="0">
      <selection activeCell="E25" sqref="E25"/>
    </sheetView>
  </sheetViews>
  <sheetFormatPr baseColWidth="8" defaultColWidth="8.6328125" defaultRowHeight="14.5"/>
  <cols>
    <col width="20" customWidth="1" min="1" max="1"/>
    <col width="60" customWidth="1" min="2" max="2"/>
    <col width="14.1796875" customWidth="1" min="3" max="3"/>
    <col width="12" customWidth="1" min="4" max="4"/>
    <col width="18" customWidth="1" min="5" max="5"/>
    <col width="14" customWidth="1" min="6" max="6"/>
    <col width="11" customWidth="1" min="7" max="7"/>
  </cols>
  <sheetData>
    <row r="1" ht="15.5" customHeight="1">
      <c r="A1" s="8" t="inlineStr">
        <is>
          <t>Audit A(P1a): Grok audits policy P1a</t>
        </is>
      </c>
    </row>
    <row r="2">
      <c r="A2" s="3" t="inlineStr">
        <is>
          <t>Scores (enter from the audit output; yellow cells only)</t>
        </is>
      </c>
    </row>
    <row r="3">
      <c r="A3" s="4" t="inlineStr">
        <is>
          <t>Requirement area</t>
        </is>
      </c>
      <c r="B3" s="4" t="inlineStr">
        <is>
          <t>Checklist total</t>
        </is>
      </c>
      <c r="C3" s="4" t="inlineStr">
        <is>
          <t>Coverage</t>
        </is>
      </c>
      <c r="D3" s="4" t="inlineStr">
        <is>
          <t>Accuracy</t>
        </is>
      </c>
      <c r="E3" s="4" t="inlineStr">
        <is>
          <t>Proportionality</t>
        </is>
      </c>
      <c r="F3" s="4" t="inlineStr">
        <is>
          <t>Enforceability</t>
        </is>
      </c>
      <c r="G3" s="4" t="inlineStr">
        <is>
          <t>Area score</t>
        </is>
      </c>
    </row>
    <row r="4">
      <c r="A4" s="6" t="inlineStr">
        <is>
          <t>Requirement 7</t>
        </is>
      </c>
      <c r="B4" s="7" t="n">
        <v>25</v>
      </c>
      <c r="C4" s="7" t="n">
        <v>93</v>
      </c>
      <c r="D4" s="7" t="n">
        <v>95</v>
      </c>
      <c r="E4" s="7" t="n">
        <v>90</v>
      </c>
      <c r="F4" s="7" t="n">
        <v>75</v>
      </c>
      <c r="G4" s="6">
        <f>IF(COUNT(C4:F4)=4,ROUND(C4*0.35+D4*0.25+E4*0.2+F4*0.2,0),"")</f>
        <v/>
      </c>
    </row>
    <row r="5">
      <c r="A5" s="6" t="inlineStr">
        <is>
          <t>Requirement 8</t>
        </is>
      </c>
      <c r="B5" s="7" t="n">
        <v>68</v>
      </c>
      <c r="C5" s="7" t="n">
        <v>94</v>
      </c>
      <c r="D5" s="7" t="n">
        <v>95</v>
      </c>
      <c r="E5" s="7" t="n">
        <v>85</v>
      </c>
      <c r="F5" s="7" t="n">
        <v>70</v>
      </c>
      <c r="G5" s="6">
        <f>IF(COUNT(C5:F5)=4,ROUND(C5*0.35+D5*0.25+E5*0.2+F5*0.2,0),"")</f>
        <v/>
      </c>
    </row>
    <row r="6">
      <c r="A6" s="6" t="inlineStr">
        <is>
          <t>Requirement 10</t>
        </is>
      </c>
      <c r="B6" s="7" t="n">
        <v>24</v>
      </c>
      <c r="C6" s="7" t="n">
        <v>89</v>
      </c>
      <c r="D6" s="7" t="n">
        <v>95</v>
      </c>
      <c r="E6" s="7" t="n">
        <v>80</v>
      </c>
      <c r="F6" s="7" t="n">
        <v>70</v>
      </c>
      <c r="G6" s="6">
        <f>IF(COUNT(C6:F6)=4,ROUND(C6*0.35+D6*0.25+E6*0.2+F6*0.2,0),"")</f>
        <v/>
      </c>
    </row>
    <row r="7">
      <c r="A7" s="6" t="inlineStr">
        <is>
          <t>Requirement 12</t>
        </is>
      </c>
      <c r="B7" s="7" t="n">
        <v>80</v>
      </c>
      <c r="C7" s="7" t="n">
        <v>89</v>
      </c>
      <c r="D7" s="7" t="n">
        <v>95</v>
      </c>
      <c r="E7" s="7" t="n">
        <v>75</v>
      </c>
      <c r="F7" s="7" t="n">
        <v>65</v>
      </c>
      <c r="G7" s="6">
        <f>IF(COUNT(C7:F7)=4,ROUND(C7*0.35+D7*0.25+E7*0.2+F7*0.2,0),"")</f>
        <v/>
      </c>
    </row>
    <row r="8">
      <c r="A8" s="9" t="inlineStr">
        <is>
          <t>Policy-level score</t>
        </is>
      </c>
      <c r="B8" s="9" t="n"/>
      <c r="C8" s="9" t="n"/>
      <c r="D8" s="9" t="n"/>
      <c r="E8" s="9" t="n"/>
      <c r="F8" s="9" t="n"/>
      <c r="G8" s="9">
        <f>IF(COUNT(G4:G7)=4,ROUND(AVERAGE(G4:G7),0),"")</f>
        <v/>
      </c>
    </row>
    <row r="10">
      <c r="A10" s="3" t="inlineStr">
        <is>
          <t>Findings (one row per finding; Tag: T/A/L, both allowed; Severity: Critical/Major/Minor)</t>
        </is>
      </c>
    </row>
    <row r="11">
      <c r="A11" s="4" t="inlineStr">
        <is>
          <t>Sub-requirement</t>
        </is>
      </c>
      <c r="B11" s="4" t="inlineStr">
        <is>
          <t>Finding</t>
        </is>
      </c>
      <c r="C11" s="4" t="inlineStr">
        <is>
          <t>Tag</t>
        </is>
      </c>
      <c r="D11" s="4" t="inlineStr">
        <is>
          <t>Severity</t>
        </is>
      </c>
      <c r="E11" s="4" t="inlineStr">
        <is>
          <t>Requirement area</t>
        </is>
      </c>
    </row>
    <row r="12" ht="51" customHeight="1">
      <c r="A12" s="10" t="inlineStr">
        <is>
          <t>7.2.4</t>
        </is>
      </c>
      <c r="B12" s="14" t="inlineStr">
        <is>
          <t>user/third-party account reviews every six months with management acknowledgement): present but weakly enforceable because no named owner or evidence/record format is specified beyond a general statement.</t>
        </is>
      </c>
      <c r="C12" s="10" t="inlineStr">
        <is>
          <t>A</t>
        </is>
      </c>
      <c r="D12" s="10" t="n"/>
      <c r="E12" s="10" t="inlineStr">
        <is>
          <t>Requirement 7</t>
        </is>
      </c>
    </row>
    <row r="13" ht="38.5" customHeight="1">
      <c r="A13" s="10" t="inlineStr">
        <is>
          <t>7.2.5.1 / 8.6.3 / 10.4.2.1 / 12.10.4.1</t>
        </is>
      </c>
      <c r="B13" s="14" t="inlineStr">
        <is>
          <t>targeted risk analyses for periodic reviews and frequencies): required and described, yet no actual analyses exist or are referenced; the policy only mandates their future creation.</t>
        </is>
      </c>
      <c r="C13" s="10" t="inlineStr">
        <is>
          <t>A</t>
        </is>
      </c>
      <c r="D13" s="10" t="n"/>
      <c r="E13" s="10" t="inlineStr">
        <is>
          <t>Requirement 7</t>
        </is>
      </c>
    </row>
    <row r="14" ht="51" customHeight="1">
      <c r="A14" s="10" t="inlineStr">
        <is>
          <t>8.2.5 / 8.2.6</t>
        </is>
      </c>
      <c r="B14" s="14" t="inlineStr">
        <is>
          <t>immediate revocation on termination; disable inactive accounts ≤90 days): stated, but the organisation currently has no automatic de-provisioning and performs SaaS removal manually; the policy does not close this operational gap.</t>
        </is>
      </c>
      <c r="C14" s="10" t="inlineStr">
        <is>
          <t>T, A</t>
        </is>
      </c>
      <c r="D14" s="10" t="n"/>
      <c r="E14" s="10" t="inlineStr">
        <is>
          <t>Requirement 8</t>
        </is>
      </c>
    </row>
    <row r="15" ht="51" customHeight="1">
      <c r="A15" s="10" t="inlineStr">
        <is>
          <t>8.2.8</t>
        </is>
      </c>
      <c r="B15" s="14" t="inlineStr">
        <is>
          <t>15-minute idle re-authentication): stated for all in-scope sessions, including SaaS, yet the order-management platform currently has no timeout while a tab remains open; the policy does not require remediation of that configuration.</t>
        </is>
      </c>
      <c r="C15" s="10" t="inlineStr">
        <is>
          <t>T</t>
        </is>
      </c>
      <c r="D15" s="10" t="n"/>
      <c r="E15" s="10" t="inlineStr">
        <is>
          <t>Requirement 8</t>
        </is>
      </c>
    </row>
    <row r="16" ht="38.5" customHeight="1">
      <c r="A16" s="10" t="inlineStr">
        <is>
          <t>8.3.6</t>
        </is>
      </c>
      <c r="B16" s="14" t="inlineStr">
        <is>
          <t>minimum 12-character passwords): correctly requires change from the current 10-character setting, but does not set a completion deadline or owner.</t>
        </is>
      </c>
      <c r="C16" s="10" t="inlineStr">
        <is>
          <t>T</t>
        </is>
      </c>
      <c r="D16" s="10" t="n"/>
      <c r="E16" s="10" t="inlineStr">
        <is>
          <t>Requirement 8</t>
        </is>
      </c>
    </row>
    <row r="17" ht="38.5" customHeight="1">
      <c r="A17" s="10" t="inlineStr">
        <is>
          <t>8.4.1–8.4.3</t>
        </is>
      </c>
      <c r="B17" s="14" t="inlineStr">
        <is>
          <t>MFA for all non-console CDE access and remote access): correctly expands beyond the current AWS-console and collaboration-suite enforcement, but provides no implementation owner or target date.</t>
        </is>
      </c>
      <c r="C17" s="10" t="inlineStr">
        <is>
          <t>T</t>
        </is>
      </c>
      <c r="D17" s="10" t="n"/>
      <c r="E17" s="10" t="inlineStr">
        <is>
          <t>Requirement 8</t>
        </is>
      </c>
    </row>
    <row r="18" ht="63.5" customHeight="1">
      <c r="A18" s="10" t="inlineStr">
        <is>
          <t>10.4.1</t>
        </is>
      </c>
      <c r="B18" s="14" t="inlineStr">
        <is>
          <t>daily review of security events, CHD/SAD logs, critical components and security-function logs): stated, including outside office hours, yet current practice is shared-mailbox alerts only 08:00–18:00 weekdays and no 24/7 coverage; the policy does not prescribe how the daily obligation will be met.</t>
        </is>
      </c>
      <c r="C18" s="10" t="inlineStr">
        <is>
          <t>T, A</t>
        </is>
      </c>
      <c r="D18" s="10" t="n"/>
      <c r="E18" s="10" t="inlineStr">
        <is>
          <t>Requirement 10</t>
        </is>
      </c>
    </row>
    <row r="19" ht="38.5" customHeight="1">
      <c r="A19" s="10" t="inlineStr">
        <is>
          <t>10.5.1</t>
        </is>
      </c>
      <c r="B19" s="14" t="inlineStr">
        <is>
          <t>12-month retention with 3 months immediately available): correctly requires archival beyond the current 90-day SIEM retention, but again lacks owner and timeline.</t>
        </is>
      </c>
      <c r="C19" s="10" t="inlineStr">
        <is>
          <t>T</t>
        </is>
      </c>
      <c r="D19" s="10" t="n"/>
      <c r="E19" s="10" t="inlineStr">
        <is>
          <t>Requirement 10</t>
        </is>
      </c>
    </row>
    <row r="20" ht="51" customHeight="1">
      <c r="A20" s="10" t="inlineStr">
        <is>
          <t>12.1.3 / 12.1.4</t>
        </is>
      </c>
      <c r="B20" s="14" t="inlineStr">
        <is>
          <t>roles defined and acknowledged; formal executive assignment): CTO is named, Information Security Manager is named, yet job descriptions still omit security responsibilities and no acknowledgement process is detailed.</t>
        </is>
      </c>
      <c r="C20" s="10" t="inlineStr">
        <is>
          <t>A</t>
        </is>
      </c>
      <c r="D20" s="10" t="n"/>
      <c r="E20" s="10" t="inlineStr">
        <is>
          <t>Requirement 12</t>
        </is>
      </c>
    </row>
    <row r="21" ht="51" customHeight="1">
      <c r="A21" s="10" t="inlineStr">
        <is>
          <t>12.3.3</t>
        </is>
      </c>
      <c r="B21" s="14" t="inlineStr">
        <is>
          <t>cryptographic inventory and annual review): required, yet the organisation currently tracks certificates only in a spreadsheet and has no algorithm/protocol inventory; the policy does not compel creation of the missing inventory.</t>
        </is>
      </c>
      <c r="C21" s="10" t="inlineStr">
        <is>
          <t>T, A</t>
        </is>
      </c>
      <c r="D21" s="10" t="n"/>
      <c r="E21" s="10" t="inlineStr">
        <is>
          <t>Requirement 12</t>
        </is>
      </c>
    </row>
    <row r="22" ht="38.5" customHeight="1">
      <c r="A22" s="10" t="inlineStr">
        <is>
          <t>12.6.3</t>
        </is>
      </c>
      <c r="B22" s="14" t="inlineStr">
        <is>
          <t>training upon hire + annually + acknowledgement + multiple methods + 100 % coverage): stated, but current completion is only 78 % and no role-specific training for dispute handlers or administrators is required.</t>
        </is>
      </c>
      <c r="C22" s="10" t="inlineStr">
        <is>
          <t>A</t>
        </is>
      </c>
      <c r="D22" s="10" t="n"/>
      <c r="E22" s="10" t="inlineStr">
        <is>
          <t>Requirement 12</t>
        </is>
      </c>
    </row>
    <row r="23" ht="51" customHeight="1">
      <c r="A23" s="10" t="inlineStr">
        <is>
          <t>12.8.1–12.8.5</t>
        </is>
      </c>
      <c r="B23" s="14" t="inlineStr">
        <is>
          <t>TPSP register, written agreements with security acknowledgements, due diligence, annual compliance monitoring, responsibility matrix): all mandated, yet none currently exist; the policy does not set creation deadlines.</t>
        </is>
      </c>
      <c r="C23" s="10" t="inlineStr">
        <is>
          <t>A</t>
        </is>
      </c>
      <c r="D23" s="10" t="n"/>
      <c r="E23" s="10" t="inlineStr">
        <is>
          <t>Requirement 12</t>
        </is>
      </c>
    </row>
    <row r="24" ht="51" customHeight="1">
      <c r="A24" s="10" t="inlineStr">
        <is>
          <t>12.10.1–12.10.7</t>
        </is>
      </c>
      <c r="B24" s="14" t="inlineStr">
        <is>
          <t>full incident-response plan, annual test, 24/7 designated responders, training, alert handling, lessons learned, unexpected-PAN procedures): comprehensively stated, yet no plan, no roles, no 24/7 arrangement and no tested notification path currently exist.</t>
        </is>
      </c>
      <c r="C24" s="10" t="inlineStr">
        <is>
          <t>T, A</t>
        </is>
      </c>
      <c r="D24" s="10" t="n"/>
      <c r="E24" s="10" t="inlineStr">
        <is>
          <t>Requirement 12</t>
        </is>
      </c>
    </row>
    <row r="25" ht="26" customHeight="1">
      <c r="A25" s="10" t="inlineStr">
        <is>
          <t>12.7.1</t>
        </is>
      </c>
      <c r="B25" s="14" t="inlineStr">
        <is>
          <t>No explicit coverage of 12.7.1 screening mechanics beyond the high-level statement (minor).</t>
        </is>
      </c>
      <c r="C25" s="10" t="inlineStr">
        <is>
          <t>A</t>
        </is>
      </c>
      <c r="D25" s="10" t="n"/>
      <c r="E25" s="10" t="inlineStr">
        <is>
          <t>Requirement 12</t>
        </is>
      </c>
    </row>
    <row r="26">
      <c r="A26" s="10" t="n"/>
      <c r="B26" s="10" t="n"/>
      <c r="C26" s="10" t="n"/>
      <c r="D26" s="10" t="n"/>
      <c r="E26" s="10" t="n"/>
    </row>
    <row r="27">
      <c r="A27" s="10" t="n"/>
      <c r="B27" s="10" t="n"/>
      <c r="C27" s="10" t="n"/>
      <c r="D27" s="10" t="n"/>
      <c r="E27" s="10" t="n"/>
    </row>
    <row r="28">
      <c r="A28" s="10" t="n"/>
      <c r="B28" s="10" t="n"/>
      <c r="C28" s="10" t="n"/>
      <c r="D28" s="10" t="n"/>
      <c r="E28" s="10" t="n"/>
    </row>
    <row r="29">
      <c r="A29" s="10" t="n"/>
      <c r="B29" s="10" t="n"/>
      <c r="C29" s="10" t="n"/>
      <c r="D29" s="10" t="n"/>
      <c r="E29" s="10" t="n"/>
    </row>
    <row r="30">
      <c r="A30" s="10" t="n"/>
      <c r="B30" s="10" t="n"/>
      <c r="C30" s="10" t="n"/>
      <c r="D30" s="10" t="n"/>
      <c r="E30" s="10" t="n"/>
    </row>
    <row r="31">
      <c r="A31" s="10" t="n"/>
      <c r="B31" s="10" t="n"/>
      <c r="C31" s="10" t="n"/>
      <c r="D31" s="10" t="n"/>
      <c r="E31" s="10" t="n"/>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G31"/>
  <sheetViews>
    <sheetView topLeftCell="A9" zoomScaleNormal="100" workbookViewId="0">
      <selection activeCell="B12" sqref="B12:B25"/>
    </sheetView>
  </sheetViews>
  <sheetFormatPr baseColWidth="8" defaultColWidth="8.6328125" defaultRowHeight="14.5"/>
  <cols>
    <col width="20" customWidth="1" min="1" max="1"/>
    <col width="60" customWidth="1" min="2" max="2"/>
    <col width="8" customWidth="1" min="3" max="3"/>
    <col width="12" customWidth="1" min="4" max="4"/>
    <col width="18" customWidth="1" min="5" max="5"/>
    <col width="14" customWidth="1" min="6" max="6"/>
    <col width="11" customWidth="1" min="7" max="7"/>
  </cols>
  <sheetData>
    <row r="1" ht="15.5" customHeight="1">
      <c r="A1" s="8" t="inlineStr">
        <is>
          <t>Audit A(P1b): Grok audits policy P1b</t>
        </is>
      </c>
    </row>
    <row r="2">
      <c r="A2" s="3" t="inlineStr">
        <is>
          <t>Scores (enter from the audit output; yellow cells only)</t>
        </is>
      </c>
    </row>
    <row r="3">
      <c r="A3" s="4" t="inlineStr">
        <is>
          <t>Requirement area</t>
        </is>
      </c>
      <c r="B3" s="4" t="inlineStr">
        <is>
          <t>Checklist total</t>
        </is>
      </c>
      <c r="C3" s="4" t="inlineStr">
        <is>
          <t>Coverage</t>
        </is>
      </c>
      <c r="D3" s="4" t="inlineStr">
        <is>
          <t>Accuracy</t>
        </is>
      </c>
      <c r="E3" s="4" t="inlineStr">
        <is>
          <t>Proportionality</t>
        </is>
      </c>
      <c r="F3" s="4" t="inlineStr">
        <is>
          <t>Enforceability</t>
        </is>
      </c>
      <c r="G3" s="4" t="inlineStr">
        <is>
          <t>Area score</t>
        </is>
      </c>
    </row>
    <row r="4">
      <c r="A4" s="6" t="inlineStr">
        <is>
          <t>Requirement 7</t>
        </is>
      </c>
      <c r="B4" s="7" t="n">
        <v>26</v>
      </c>
      <c r="C4" s="7" t="n">
        <v>96</v>
      </c>
      <c r="D4" s="7" t="n">
        <v>95</v>
      </c>
      <c r="E4" s="7" t="n">
        <v>90</v>
      </c>
      <c r="F4" s="7" t="n">
        <v>85</v>
      </c>
      <c r="G4" s="6">
        <f>IF(COUNT(C4:F4)=4,ROUND(C4*0.35+D4*0.25+E4*0.2+F4*0.2,0),"")</f>
        <v/>
      </c>
    </row>
    <row r="5">
      <c r="A5" s="6" t="inlineStr">
        <is>
          <t>Requirement 8</t>
        </is>
      </c>
      <c r="B5" s="7" t="n">
        <v>66</v>
      </c>
      <c r="C5" s="7" t="n">
        <v>92</v>
      </c>
      <c r="D5" s="7" t="n">
        <v>95</v>
      </c>
      <c r="E5" s="7" t="n">
        <v>85</v>
      </c>
      <c r="F5" s="7" t="n">
        <v>80</v>
      </c>
      <c r="G5" s="6">
        <f>IF(COUNT(C5:F5)=4,ROUND(C5*0.35+D5*0.25+E5*0.2+F5*0.2,0),"")</f>
        <v/>
      </c>
    </row>
    <row r="6">
      <c r="A6" s="6" t="inlineStr">
        <is>
          <t>Requirement 10</t>
        </is>
      </c>
      <c r="B6" s="7" t="n">
        <v>24</v>
      </c>
      <c r="C6" s="7" t="n">
        <v>89</v>
      </c>
      <c r="D6" s="7" t="n">
        <v>95</v>
      </c>
      <c r="E6" s="7" t="n">
        <v>85</v>
      </c>
      <c r="F6" s="7" t="n">
        <v>75</v>
      </c>
      <c r="G6" s="6">
        <f>IF(COUNT(C6:F6)=4,ROUND(C6*0.35+D6*0.25+E6*0.2+F6*0.2,0),"")</f>
        <v/>
      </c>
    </row>
    <row r="7">
      <c r="A7" s="6" t="inlineStr">
        <is>
          <t>Requirement 12</t>
        </is>
      </c>
      <c r="B7" s="7" t="n">
        <v>78</v>
      </c>
      <c r="C7" s="7" t="n">
        <v>87</v>
      </c>
      <c r="D7" s="7" t="n">
        <v>95</v>
      </c>
      <c r="E7" s="7" t="n">
        <v>85</v>
      </c>
      <c r="F7" s="7" t="n">
        <v>75</v>
      </c>
      <c r="G7" s="6">
        <f>IF(COUNT(C7:F7)=4,ROUND(C7*0.35+D7*0.25+E7*0.2+F7*0.2,0),"")</f>
        <v/>
      </c>
    </row>
    <row r="8">
      <c r="A8" s="9" t="inlineStr">
        <is>
          <t>Policy-level score</t>
        </is>
      </c>
      <c r="B8" s="9" t="n"/>
      <c r="C8" s="9" t="n"/>
      <c r="D8" s="9" t="n"/>
      <c r="E8" s="9" t="n"/>
      <c r="F8" s="9" t="n"/>
      <c r="G8" s="9">
        <f>IF(COUNT(G4:G7)=4,ROUND(AVERAGE(G4:G7),0),"")</f>
        <v/>
      </c>
    </row>
    <row r="10">
      <c r="A10" s="3" t="inlineStr">
        <is>
          <t>Findings (one row per finding; Tag: T/A/L, both allowed; Severity: Critical/Major/Minor)</t>
        </is>
      </c>
    </row>
    <row r="11">
      <c r="A11" s="4" t="inlineStr">
        <is>
          <t>Sub-requirement</t>
        </is>
      </c>
      <c r="B11" s="4" t="inlineStr">
        <is>
          <t>Finding</t>
        </is>
      </c>
      <c r="C11" s="4" t="inlineStr">
        <is>
          <t>Tag</t>
        </is>
      </c>
      <c r="D11" s="4" t="inlineStr">
        <is>
          <t>Severity</t>
        </is>
      </c>
      <c r="E11" s="4" t="inlineStr">
        <is>
          <t>Requirement area</t>
        </is>
      </c>
    </row>
    <row r="12" ht="38.5" customHeight="1">
      <c r="A12" s="10" t="inlineStr">
        <is>
          <t>7.2.5.1 / 8.6.3 / 10.4.2.1 / 12.10.4.1</t>
        </is>
      </c>
      <c r="B12" s="14" t="inlineStr">
        <is>
          <t>TRA required but no completed TRA register or examples exist in the organisation context; policy states the obligation without evidence of performance</t>
        </is>
      </c>
      <c r="C12" s="10" t="inlineStr">
        <is>
          <t>A</t>
        </is>
      </c>
      <c r="D12" s="10" t="n"/>
      <c r="E12" s="10" t="inlineStr">
        <is>
          <t>Requirement 7</t>
        </is>
      </c>
    </row>
    <row r="13" ht="38.5" customHeight="1">
      <c r="A13" s="10" t="inlineStr">
        <is>
          <t>8.2.8</t>
        </is>
      </c>
      <c r="B13" s="14" t="inlineStr">
        <is>
          <t>Session timeout stated as required (&gt;15 min) but organisation currently has 60-min AWS and indefinite order-management sessions; remediation is only “shall be remediated” without owner/date</t>
        </is>
      </c>
      <c r="C13" s="10" t="inlineStr">
        <is>
          <t>T</t>
        </is>
      </c>
      <c r="D13" s="10" t="n"/>
      <c r="E13" s="10" t="inlineStr">
        <is>
          <t>Requirement 8</t>
        </is>
      </c>
    </row>
    <row r="14" ht="51" customHeight="1">
      <c r="A14" s="10" t="inlineStr">
        <is>
          <t>8.3.6 / 8.3.9</t>
        </is>
      </c>
      <c r="B14" s="14" t="inlineStr">
        <is>
          <t>Current identity-provider minimum is 10 characters and 90-day expiry; policy correctly requires 12 characters and addresses the single-factor case, but the increase and any MFA-based exception remain unimplemented</t>
        </is>
      </c>
      <c r="C14" s="10" t="inlineStr">
        <is>
          <t>T</t>
        </is>
      </c>
      <c r="D14" s="10" t="n"/>
      <c r="E14" s="10" t="inlineStr">
        <is>
          <t>Requirement 8</t>
        </is>
      </c>
    </row>
    <row r="15" ht="51" customHeight="1">
      <c r="A15" s="10" t="inlineStr">
        <is>
          <t>8.4.1–8.4.3</t>
        </is>
      </c>
      <c r="B15" s="14" t="inlineStr">
        <is>
          <t>MFA currently enforced only on AWS console and collaboration suite; policy correctly expands the requirement but technical enforcement on order-management, PSP portal and other CDE-impacting paths is still absent</t>
        </is>
      </c>
      <c r="C15" s="10" t="inlineStr">
        <is>
          <t>T</t>
        </is>
      </c>
      <c r="D15" s="10" t="n"/>
      <c r="E15" s="10" t="inlineStr">
        <is>
          <t>Requirement 8</t>
        </is>
      </c>
    </row>
    <row r="16" ht="26" customHeight="1">
      <c r="A16" s="10" t="inlineStr">
        <is>
          <t>8.2.5 / 8.2.6</t>
        </is>
      </c>
      <c r="B16" s="14" t="inlineStr">
        <is>
          <t>Immediate revocation and 90-day inactivity stated; organisation still relies on manual SaaS de-provisioning with no automatic process</t>
        </is>
      </c>
      <c r="C16" s="10" t="inlineStr">
        <is>
          <t>T, A</t>
        </is>
      </c>
      <c r="D16" s="10" t="n"/>
      <c r="E16" s="10" t="inlineStr">
        <is>
          <t>Requirement 8</t>
        </is>
      </c>
    </row>
    <row r="17" ht="38.5" customHeight="1">
      <c r="A17" s="10" t="inlineStr">
        <is>
          <t>10.4.1 / 10.5.1</t>
        </is>
      </c>
      <c r="B17" s="14" t="inlineStr">
        <is>
          <t>Daily review and 12-month retention stated; SIEM currently retains only 90 days searchable and no offline archive exists; order-management admin log not forwarded</t>
        </is>
      </c>
      <c r="C17" s="10" t="inlineStr">
        <is>
          <t>T</t>
        </is>
      </c>
      <c r="D17" s="10" t="n"/>
      <c r="E17" s="10" t="inlineStr">
        <is>
          <t>Requirement 10</t>
        </is>
      </c>
    </row>
    <row r="18" ht="38.5" customHeight="1">
      <c r="A18" s="10" t="inlineStr">
        <is>
          <t>10.4.1</t>
        </is>
      </c>
      <c r="B18" s="14" t="inlineStr">
        <is>
          <t>High-severity alerts currently limited to working-hours mailbox; policy requires 24/7 reachability but no on-call rota or technical routing is in place</t>
        </is>
      </c>
      <c r="C18" s="10" t="inlineStr">
        <is>
          <t>T, A</t>
        </is>
      </c>
      <c r="D18" s="10" t="n"/>
      <c r="E18" s="10" t="inlineStr">
        <is>
          <t>Requirement 10</t>
        </is>
      </c>
    </row>
    <row r="19" ht="38.5" customHeight="1">
      <c r="A19" s="10" t="inlineStr">
        <is>
          <t>12.1.1–12.1.4 / 12.6.3</t>
        </is>
      </c>
      <c r="B19" s="14" t="inlineStr">
        <is>
          <t>Policy itself is new; prior template policies had no owner, approval signature or 12-month review evidence; current training completion is 78 %</t>
        </is>
      </c>
      <c r="C19" s="10" t="inlineStr">
        <is>
          <t>A</t>
        </is>
      </c>
      <c r="D19" s="10" t="n"/>
      <c r="E19" s="10" t="inlineStr">
        <is>
          <t>Requirement 12</t>
        </is>
      </c>
    </row>
    <row r="20" ht="26" customHeight="1">
      <c r="A20" s="10" t="inlineStr">
        <is>
          <t>12.3.1 / 12.3.3 / 12.3.4</t>
        </is>
      </c>
      <c r="B20" s="14" t="inlineStr">
        <is>
          <t>TRA, cryptographic inventory and technology review obligations stated; organisation currently has none of these artefacts</t>
        </is>
      </c>
      <c r="C20" s="10" t="inlineStr">
        <is>
          <t>A</t>
        </is>
      </c>
      <c r="D20" s="10" t="n"/>
      <c r="E20" s="10" t="inlineStr">
        <is>
          <t>Requirement 12</t>
        </is>
      </c>
    </row>
    <row r="21" ht="26" customHeight="1">
      <c r="A21" s="10" t="inlineStr">
        <is>
          <t>12.5.1 / 12.5.2</t>
        </is>
      </c>
      <c r="B21" s="14" t="inlineStr">
        <is>
          <t>Scope inventory and annual validation required; no formal inventory or data-flow diagrams currently maintained</t>
        </is>
      </c>
      <c r="C21" s="10" t="inlineStr">
        <is>
          <t>A</t>
        </is>
      </c>
      <c r="D21" s="10" t="n"/>
      <c r="E21" s="10" t="inlineStr">
        <is>
          <t>Requirement 12</t>
        </is>
      </c>
    </row>
    <row r="22" ht="38.5" customHeight="1">
      <c r="A22" s="10" t="inlineStr">
        <is>
          <t>12.8.1–12.8.5</t>
        </is>
      </c>
      <c r="B22" s="14" t="inlineStr">
        <is>
          <t>Full TPSP programme required; organisation has no register, no written security acknowledgements, no due-diligence process and no responsibility matrix</t>
        </is>
      </c>
      <c r="C22" s="10" t="inlineStr">
        <is>
          <t>A</t>
        </is>
      </c>
      <c r="D22" s="10" t="n"/>
      <c r="E22" s="10" t="inlineStr">
        <is>
          <t>Requirement 12</t>
        </is>
      </c>
    </row>
    <row r="23" ht="38.5" customHeight="1">
      <c r="A23" s="10" t="inlineStr">
        <is>
          <t>12.10.1–12.10.7</t>
        </is>
      </c>
      <c r="B23" s="14" t="inlineStr">
        <is>
          <t>Complete IRP required; organisation currently has no written incident-response plan, no 24/7 contacts, no tested notification path to acquirer and no PAN-discovery procedure</t>
        </is>
      </c>
      <c r="C23" s="10" t="inlineStr">
        <is>
          <t>A</t>
        </is>
      </c>
      <c r="D23" s="10" t="n"/>
      <c r="E23" s="10" t="inlineStr">
        <is>
          <t>Requirement 12</t>
        </is>
      </c>
    </row>
    <row r="24" ht="26" customHeight="1">
      <c r="A24" s="10" t="inlineStr">
        <is>
          <t>12.7.1</t>
        </is>
      </c>
      <c r="B24" s="14" t="inlineStr">
        <is>
          <t>Screening required for CDE access; no evidence of current pre-employment screening process</t>
        </is>
      </c>
      <c r="C24" s="10" t="inlineStr">
        <is>
          <t>A</t>
        </is>
      </c>
      <c r="D24" s="10" t="n"/>
      <c r="E24" s="10" t="inlineStr">
        <is>
          <t>Requirement 12</t>
        </is>
      </c>
    </row>
    <row r="25" ht="38.5" customHeight="1">
      <c r="A25" s="10" t="n"/>
      <c r="B25" s="14" t="inlineStr">
        <is>
          <t>Legislative intersection (UK GDPR 72-hour notification, retention schedules, Dublin transfer documentation): addressed in policy but no internal procedure or records exist</t>
        </is>
      </c>
      <c r="C25" s="10" t="inlineStr">
        <is>
          <t>L</t>
        </is>
      </c>
      <c r="D25" s="10" t="n"/>
      <c r="E25" s="10" t="n"/>
    </row>
    <row r="26">
      <c r="A26" s="10" t="n"/>
      <c r="B26" s="10" t="n"/>
      <c r="C26" s="10" t="n"/>
      <c r="D26" s="10" t="n"/>
      <c r="E26" s="10" t="n"/>
    </row>
    <row r="27">
      <c r="A27" s="10" t="n"/>
      <c r="B27" s="10" t="n"/>
      <c r="C27" s="10" t="n"/>
      <c r="D27" s="10" t="n"/>
      <c r="E27" s="10" t="n"/>
    </row>
    <row r="28">
      <c r="A28" s="10" t="n"/>
      <c r="B28" s="10" t="n"/>
      <c r="C28" s="10" t="n"/>
      <c r="D28" s="10" t="n"/>
      <c r="E28" s="10" t="n"/>
    </row>
    <row r="29">
      <c r="A29" s="10" t="n"/>
      <c r="B29" s="10" t="n"/>
      <c r="C29" s="10" t="n"/>
      <c r="D29" s="10" t="n"/>
      <c r="E29" s="10" t="n"/>
    </row>
    <row r="30">
      <c r="A30" s="10" t="n"/>
      <c r="B30" s="10" t="n"/>
      <c r="C30" s="10" t="n"/>
      <c r="D30" s="10" t="n"/>
      <c r="E30" s="10" t="n"/>
    </row>
    <row r="31">
      <c r="A31" s="10" t="n"/>
      <c r="B31" s="10" t="n"/>
      <c r="C31" s="10" t="n"/>
      <c r="D31" s="10" t="n"/>
      <c r="E31" s="10" t="n"/>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G45"/>
  <sheetViews>
    <sheetView topLeftCell="A38" zoomScaleNormal="100" workbookViewId="0">
      <selection activeCell="B12" sqref="B12:B45"/>
    </sheetView>
  </sheetViews>
  <sheetFormatPr baseColWidth="8" defaultColWidth="8.6328125" defaultRowHeight="14.5"/>
  <cols>
    <col width="20" customWidth="1" min="1" max="1"/>
    <col width="60" customWidth="1" min="2" max="2"/>
    <col width="8" customWidth="1" min="3" max="3"/>
    <col width="12" customWidth="1" min="4" max="4"/>
    <col width="18" customWidth="1" min="5" max="5"/>
    <col width="14" customWidth="1" min="6" max="6"/>
    <col width="11" customWidth="1" min="7" max="7"/>
  </cols>
  <sheetData>
    <row r="1" ht="15.5" customHeight="1">
      <c r="A1" s="8" t="inlineStr">
        <is>
          <t>Audit A(P2a): ChatGPT audits policy P2a</t>
        </is>
      </c>
    </row>
    <row r="2">
      <c r="A2" s="3" t="inlineStr">
        <is>
          <t>Scores (enter from the audit output; yellow cells only)</t>
        </is>
      </c>
    </row>
    <row r="3">
      <c r="A3" s="4" t="inlineStr">
        <is>
          <t>Requirement area</t>
        </is>
      </c>
      <c r="B3" s="4" t="inlineStr">
        <is>
          <t>Checklist total</t>
        </is>
      </c>
      <c r="C3" s="4" t="inlineStr">
        <is>
          <t>Coverage</t>
        </is>
      </c>
      <c r="D3" s="4" t="inlineStr">
        <is>
          <t>Accuracy</t>
        </is>
      </c>
      <c r="E3" s="4" t="inlineStr">
        <is>
          <t>Proportionality</t>
        </is>
      </c>
      <c r="F3" s="4" t="inlineStr">
        <is>
          <t>Enforceability</t>
        </is>
      </c>
      <c r="G3" s="4" t="inlineStr">
        <is>
          <t>Area score</t>
        </is>
      </c>
    </row>
    <row r="4">
      <c r="A4" s="6" t="inlineStr">
        <is>
          <t>Requirement 7</t>
        </is>
      </c>
      <c r="B4" s="7" t="n">
        <v>18</v>
      </c>
      <c r="C4" s="7" t="n">
        <v>67</v>
      </c>
      <c r="D4" s="7" t="n">
        <v>90</v>
      </c>
      <c r="E4" s="7" t="n">
        <v>75</v>
      </c>
      <c r="F4" s="7" t="n">
        <v>55</v>
      </c>
      <c r="G4" s="6">
        <f>IF(COUNT(C4:F4)=4,ROUND(C4*0.35+D4*0.25+E4*0.2+F4*0.2,0),"")</f>
        <v/>
      </c>
    </row>
    <row r="5">
      <c r="A5" s="6" t="inlineStr">
        <is>
          <t>Requirement 8</t>
        </is>
      </c>
      <c r="B5" s="7" t="n">
        <v>48</v>
      </c>
      <c r="C5" s="7" t="n">
        <v>67</v>
      </c>
      <c r="D5" s="7" t="n">
        <v>90</v>
      </c>
      <c r="E5" s="7" t="n">
        <v>70</v>
      </c>
      <c r="F5" s="7" t="n">
        <v>60</v>
      </c>
      <c r="G5" s="6">
        <f>IF(COUNT(C5:F5)=4,ROUND(C5*0.35+D5*0.25+E5*0.2+F5*0.2,0),"")</f>
        <v/>
      </c>
    </row>
    <row r="6">
      <c r="A6" s="6" t="inlineStr">
        <is>
          <t>Requirement 10</t>
        </is>
      </c>
      <c r="B6" s="7" t="n">
        <v>18</v>
      </c>
      <c r="C6" s="7" t="n">
        <v>67</v>
      </c>
      <c r="D6" s="7" t="n">
        <v>90</v>
      </c>
      <c r="E6" s="7" t="n">
        <v>55</v>
      </c>
      <c r="F6" s="7" t="n">
        <v>55</v>
      </c>
      <c r="G6" s="6">
        <f>IF(COUNT(C6:F6)=4,ROUND(C6*0.35+D6*0.25+E6*0.2+F6*0.2,0),"")</f>
        <v/>
      </c>
    </row>
    <row r="7">
      <c r="A7" s="6" t="inlineStr">
        <is>
          <t>Requirement 12</t>
        </is>
      </c>
      <c r="B7" s="7" t="n">
        <v>59</v>
      </c>
      <c r="C7" s="7" t="n">
        <v>66</v>
      </c>
      <c r="D7" s="7" t="n">
        <v>90</v>
      </c>
      <c r="E7" s="7" t="n">
        <v>55</v>
      </c>
      <c r="F7" s="7" t="n">
        <v>45</v>
      </c>
      <c r="G7" s="6">
        <f>IF(COUNT(C7:F7)=4,ROUND(C7*0.35+D7*0.25+E7*0.2+F7*0.2,0),"")</f>
        <v/>
      </c>
    </row>
    <row r="8">
      <c r="A8" s="9" t="inlineStr">
        <is>
          <t>Policy-level score</t>
        </is>
      </c>
      <c r="B8" s="9" t="n"/>
      <c r="C8" s="9" t="n"/>
      <c r="D8" s="9" t="n"/>
      <c r="E8" s="9" t="n"/>
      <c r="F8" s="9" t="n"/>
      <c r="G8" s="9">
        <f>IF(COUNT(G4:G7)=4,ROUND(AVERAGE(G4:G7),0),"")</f>
        <v/>
      </c>
    </row>
    <row r="10">
      <c r="A10" s="3" t="inlineStr">
        <is>
          <t>Findings (one row per finding; Tag: T/A/L, both allowed; Severity: Critical/Major/Minor)</t>
        </is>
      </c>
    </row>
    <row r="11">
      <c r="A11" s="4" t="inlineStr">
        <is>
          <t>Sub-requirement</t>
        </is>
      </c>
      <c r="B11" s="4" t="inlineStr">
        <is>
          <t>Finding</t>
        </is>
      </c>
      <c r="C11" s="4" t="inlineStr">
        <is>
          <t>Tag</t>
        </is>
      </c>
      <c r="D11" s="4" t="inlineStr">
        <is>
          <t>Severity</t>
        </is>
      </c>
      <c r="E11" s="4" t="inlineStr">
        <is>
          <t>Requirement area</t>
        </is>
      </c>
    </row>
    <row r="12" ht="63.5" customHeight="1">
      <c r="A12" s="10" t="inlineStr">
        <is>
          <t>7.1.2, 8.1.2, 10.1.2, 12.1.3</t>
        </is>
      </c>
      <c r="B12" s="14" t="inlineStr">
        <is>
          <t>The policy repeatedly states that roles and responsibilities “are documented, assigned, and understood” but does not actually identify the operational roles responsible for access administration, authentication, log review, incident response, supplier oversight, training, or risk analysis.</t>
        </is>
      </c>
      <c r="C12" s="10" t="inlineStr">
        <is>
          <t>A</t>
        </is>
      </c>
      <c r="D12" s="10" t="n"/>
      <c r="E12" s="10" t="inlineStr">
        <is>
          <t>Requirement 7</t>
        </is>
      </c>
    </row>
    <row r="13" ht="51" customHeight="1">
      <c r="A13" s="10" t="inlineStr">
        <is>
          <t>7.2.1–7.2.5.1</t>
        </is>
      </c>
      <c r="B13" s="14" t="inlineStr">
        <is>
          <t>Access-control obligations are substantively correct but lack named control owners. The Information Security Manager is the document owner, not expressly the person accountable for each provisioning, approval, review and remediation action.</t>
        </is>
      </c>
      <c r="C13" s="10" t="inlineStr">
        <is>
          <t>A</t>
        </is>
      </c>
      <c r="D13" s="10" t="n"/>
      <c r="E13" s="10" t="inlineStr">
        <is>
          <t>Requirement 7</t>
        </is>
      </c>
    </row>
    <row r="14" ht="51" customHeight="1">
      <c r="A14" s="10" t="inlineStr">
        <is>
          <t>7.2.4</t>
        </is>
      </c>
      <c r="B14" s="14" t="inlineStr">
        <is>
          <t>Six-monthly access review is stated correctly, but no reviewer, system owner, evidence requirement, escalation route or deadline for removal of inappropriate access is defined. This is material given the three obsolete project groups that still contain members.</t>
        </is>
      </c>
      <c r="C14" s="10" t="inlineStr">
        <is>
          <t>A</t>
        </is>
      </c>
      <c r="D14" s="10" t="n"/>
      <c r="E14" s="10" t="inlineStr">
        <is>
          <t>Requirement 7</t>
        </is>
      </c>
    </row>
    <row r="15" ht="38.5" customHeight="1">
      <c r="A15" s="10" t="inlineStr">
        <is>
          <t>7.2.5.1</t>
        </is>
      </c>
      <c r="B15" s="14" t="inlineStr">
        <is>
          <t>Application/system-account reviews depend on a targeted risk analysis, but NorthPay has no documented targeted risk analysis. Consequently the policy supplies no currently operable review frequency.</t>
        </is>
      </c>
      <c r="C15" s="10" t="inlineStr">
        <is>
          <t>A</t>
        </is>
      </c>
      <c r="D15" s="10" t="n"/>
      <c r="E15" s="10" t="inlineStr">
        <is>
          <t>Requirement 7</t>
        </is>
      </c>
    </row>
    <row r="16" ht="63.5" customHeight="1">
      <c r="A16" s="10" t="inlineStr">
        <is>
          <t>7.2.6</t>
        </is>
      </c>
      <c r="B16" s="14" t="inlineStr">
        <is>
          <t>The policy speaks unconditionally of “repositories of stored cardholder data.” NorthPay does not store full PAN or other CHD on its systems. The provision should either be expressly conditional/not applicable to the present architecture or distinguish unexpected PAN discovery from normal storage.</t>
        </is>
      </c>
      <c r="C16" s="10" t="inlineStr">
        <is>
          <t>T, A</t>
        </is>
      </c>
      <c r="D16" s="10" t="n"/>
      <c r="E16" s="10" t="inlineStr">
        <is>
          <t>Requirement 7</t>
        </is>
      </c>
    </row>
    <row r="17" ht="51" customHeight="1">
      <c r="A17" s="10" t="inlineStr">
        <is>
          <t>8.2.4–8.2.6</t>
        </is>
      </c>
      <c r="B17" s="14" t="inlineStr">
        <is>
          <t>Joiner/mover/leaver controls are correctly stated but no lifecycle owner or operating procedure is identified. NorthPay currently removes SaaS access manually and has no automatic de-provisioning, making immediate revocation dependent on an unstated manual process.</t>
        </is>
      </c>
      <c r="C17" s="10" t="inlineStr">
        <is>
          <t>T, A</t>
        </is>
      </c>
      <c r="D17" s="10" t="n"/>
      <c r="E17" s="10" t="inlineStr">
        <is>
          <t>Requirement 8</t>
        </is>
      </c>
    </row>
    <row r="18" ht="51" customHeight="1">
      <c r="A18" s="10" t="inlineStr">
        <is>
          <t>8.2.8</t>
        </is>
      </c>
      <c r="B18" s="14" t="inlineStr">
        <is>
          <t>The 15-minute re-authentication rule is correctly reproduced but is not connected to a responsible system owner or enforcement mechanism. Current AWS administrative sessions allow 60 minutes and the order-management session does not time out while its tab remains open.</t>
        </is>
      </c>
      <c r="C18" s="10" t="inlineStr">
        <is>
          <t>T</t>
        </is>
      </c>
      <c r="D18" s="10" t="n"/>
      <c r="E18" s="10" t="inlineStr">
        <is>
          <t>Requirement 8</t>
        </is>
      </c>
    </row>
    <row r="19" ht="38.5" customHeight="1">
      <c r="A19" s="10" t="inlineStr">
        <is>
          <t>8.3.6</t>
        </is>
      </c>
      <c r="B19" s="14" t="inlineStr">
        <is>
          <t>The required 12-character password minimum is correctly stated, but no owner is made responsible for reconciling the policy with the identity provider's existing 10-character minimum.</t>
        </is>
      </c>
      <c r="C19" s="10" t="inlineStr">
        <is>
          <t>T</t>
        </is>
      </c>
      <c r="D19" s="10" t="n"/>
      <c r="E19" s="10" t="inlineStr">
        <is>
          <t>Requirement 8</t>
        </is>
      </c>
    </row>
    <row r="20" ht="51" customHeight="1">
      <c r="A20" s="10" t="inlineStr">
        <is>
          <t>8.4.1–8.4.3</t>
        </is>
      </c>
      <c r="B20" s="14" t="inlineStr">
        <is>
          <t>MFA requirements are correctly reproduced but no accountable owner, rollout mechanism or exception/remediation process is identified. NorthPay currently enforces MFA only for AWS and the collaboration suite, despite other systems being capable of impacting the CDE.</t>
        </is>
      </c>
      <c r="C20" s="10" t="inlineStr">
        <is>
          <t>T, A</t>
        </is>
      </c>
      <c r="D20" s="10" t="n"/>
      <c r="E20" s="10" t="inlineStr">
        <is>
          <t>Requirement 8</t>
        </is>
      </c>
    </row>
    <row r="21" ht="38.5" customHeight="1">
      <c r="A21" s="10" t="inlineStr">
        <is>
          <t>8.6.3, 12.3.1</t>
        </is>
      </c>
      <c r="B21" s="14" t="inlineStr">
        <is>
          <t>System/application account password-change frequency is delegated to a targeted risk analysis that does not currently exist, leaving the operative frequency undefined.</t>
        </is>
      </c>
      <c r="C21" s="10" t="inlineStr">
        <is>
          <t>T, A</t>
        </is>
      </c>
      <c r="D21" s="10" t="n"/>
      <c r="E21" s="10" t="inlineStr">
        <is>
          <t>Requirement 8</t>
        </is>
      </c>
    </row>
    <row r="22" ht="38.5" customHeight="1">
      <c r="A22" s="10" t="inlineStr">
        <is>
          <t>10.3.1</t>
        </is>
      </c>
      <c r="B22" s="14" t="inlineStr">
        <is>
          <t>Log-read access is restricted to persons with a job-related need, but the policy neither defines the authorised log-reader roles nor requires periodic review of those permissions.</t>
        </is>
      </c>
      <c r="C22" s="10" t="inlineStr">
        <is>
          <t>T, A</t>
        </is>
      </c>
      <c r="D22" s="10" t="n"/>
      <c r="E22" s="10" t="inlineStr">
        <is>
          <t>Requirement 10</t>
        </is>
      </c>
    </row>
    <row r="23" ht="51" customHeight="1">
      <c r="A23" s="10" t="inlineStr">
        <is>
          <t>10.4.1</t>
        </is>
      </c>
      <c r="B23" s="14" t="inlineStr">
        <is>
          <t>Daily review is correctly mandated, but no person or team is responsible for performing and evidencing that review. Current monitoring consists of selected alerts to a mailbox watched only 08:00–18:00 on working days.</t>
        </is>
      </c>
      <c r="C23" s="10" t="inlineStr">
        <is>
          <t>T, A</t>
        </is>
      </c>
      <c r="D23" s="10" t="n"/>
      <c r="E23" s="10" t="inlineStr">
        <is>
          <t>Requirement 10</t>
        </is>
      </c>
    </row>
    <row r="24" ht="26" customHeight="1">
      <c r="A24" s="10" t="inlineStr">
        <is>
          <t>10.4.2, 10.4.2.1</t>
        </is>
      </c>
      <c r="B24" s="14" t="inlineStr">
        <is>
          <t>Review of other logs is described only as “periodic”; its actual cadence depends on a targeted risk analysis that NorthPay has not produced.</t>
        </is>
      </c>
      <c r="C24" s="10" t="inlineStr">
        <is>
          <t>A</t>
        </is>
      </c>
      <c r="D24" s="10" t="n"/>
      <c r="E24" s="10" t="inlineStr">
        <is>
          <t>Requirement 10</t>
        </is>
      </c>
    </row>
    <row r="25" ht="38.5" customHeight="1">
      <c r="A25" s="10" t="inlineStr">
        <is>
          <t>10.4.1–10.4.3</t>
        </is>
      </c>
      <c r="B25" s="14" t="inlineStr">
        <is>
          <t>The policy does not address how the order-management platform's separate administrator log is brought into the review process, even though it is not forwarded to the SIEM.</t>
        </is>
      </c>
      <c r="C25" s="10" t="inlineStr">
        <is>
          <t>T</t>
        </is>
      </c>
      <c r="D25" s="10" t="n"/>
      <c r="E25" s="10" t="inlineStr">
        <is>
          <t>Requirement 10</t>
        </is>
      </c>
    </row>
    <row r="26" ht="38.5" customHeight="1">
      <c r="A26" s="10" t="inlineStr">
        <is>
          <t>10.5.1</t>
        </is>
      </c>
      <c r="B26" s="14" t="inlineStr">
        <is>
          <t>The 12-month retention requirement is stated accurately but no owner or storage method is identified. NorthPay currently retains only 90 days and has no separate archive.</t>
        </is>
      </c>
      <c r="C26" s="10" t="inlineStr">
        <is>
          <t>T</t>
        </is>
      </c>
      <c r="D26" s="10" t="n"/>
      <c r="E26" s="10" t="inlineStr">
        <is>
          <t>Requirement 10</t>
        </is>
      </c>
    </row>
    <row r="27" ht="38.5" customHeight="1">
      <c r="A27" s="10" t="inlineStr">
        <is>
          <t>10.7.3</t>
        </is>
      </c>
      <c r="B27" s="14" t="inlineStr">
        <is>
          <t>The security-control-failure response wording is complete, but no responder, escalation path, evidencing mechanism or link to the incident-response structure is defined.</t>
        </is>
      </c>
      <c r="C27" s="10" t="inlineStr">
        <is>
          <t>T, A</t>
        </is>
      </c>
      <c r="D27" s="10" t="n"/>
      <c r="E27" s="10" t="inlineStr">
        <is>
          <t>Requirement 10</t>
        </is>
      </c>
    </row>
    <row r="28" ht="51" customHeight="1">
      <c r="A28" s="10" t="inlineStr">
        <is>
          <t>12.1.3</t>
        </is>
      </c>
      <c r="B28" s="14" t="inlineStr">
        <is>
          <t>The policy does not actually define security responsibilities “for all personnel”; it merely states that they are defined. This is inconsistent with the scenario in which engineering and support job descriptions contain no security responsibilities.</t>
        </is>
      </c>
      <c r="C28" s="10" t="inlineStr">
        <is>
          <t>A</t>
        </is>
      </c>
      <c r="D28" s="10" t="n"/>
      <c r="E28" s="10" t="inlineStr">
        <is>
          <t>Requirement 12</t>
        </is>
      </c>
    </row>
    <row r="29" ht="63.5" customHeight="1">
      <c r="A29" s="10" t="inlineStr">
        <is>
          <t>12.1.4</t>
        </is>
      </c>
      <c r="B29" s="14" t="inlineStr">
        <is>
          <t>The policy does not formally assign executive responsibility to a named individual. It states that responsibility is assigned to a CISO or another knowledgeable executive, while the front matter names the non-executive Information Security Manager as policy owner and the scenario says the CTO's PCI ownership is undocumented.</t>
        </is>
      </c>
      <c r="C29" s="10" t="inlineStr">
        <is>
          <t>A</t>
        </is>
      </c>
      <c r="D29" s="10" t="n"/>
      <c r="E29" s="10" t="inlineStr">
        <is>
          <t>Requirement 12</t>
        </is>
      </c>
    </row>
    <row r="30" ht="63.5" customHeight="1">
      <c r="A30" s="10" t="inlineStr">
        <is>
          <t>12.2.1</t>
        </is>
      </c>
      <c r="B30" s="14" t="inlineStr">
        <is>
          <t>The policy states that an acceptable-use policy exists and contains prescribed elements, but does not itself identify the approved technologies, acceptable uses, approving authority or control over personal devices. Current BYOD restrictions are enforced only by convention.</t>
        </is>
      </c>
      <c r="C30" s="10" t="inlineStr">
        <is>
          <t>T, A</t>
        </is>
      </c>
      <c r="D30" s="10" t="n"/>
      <c r="E30" s="10" t="inlineStr">
        <is>
          <t>Requirement 12</t>
        </is>
      </c>
    </row>
    <row r="31" ht="38.5" customHeight="1">
      <c r="A31" s="10" t="inlineStr">
        <is>
          <t>12.3.1</t>
        </is>
      </c>
      <c r="B31" s="14" t="inlineStr">
        <is>
          <t>The targeted-risk-analysis methodology is accurately restated but no role is assigned to create, approve, retain or annually review the analyses. NorthPay currently has none.</t>
        </is>
      </c>
      <c r="C31" s="10" t="inlineStr">
        <is>
          <t>A</t>
        </is>
      </c>
      <c r="D31" s="10" t="n"/>
      <c r="E31" s="10" t="inlineStr">
        <is>
          <t>Requirement 12</t>
        </is>
      </c>
    </row>
    <row r="32" ht="38.5" customHeight="1">
      <c r="A32" s="10" t="inlineStr">
        <is>
          <t>12.3.3</t>
        </is>
      </c>
      <c r="B32" s="14" t="inlineStr">
        <is>
          <t>The cryptographic inventory and annual review are required but no custodian is identified. NorthPay currently has no inventory of algorithms, protocols, certificates, key locations or key holders.</t>
        </is>
      </c>
      <c r="C32" s="10" t="inlineStr">
        <is>
          <t>T, A</t>
        </is>
      </c>
      <c r="D32" s="10" t="n"/>
      <c r="E32" s="10" t="inlineStr">
        <is>
          <t>Requirement 12</t>
        </is>
      </c>
    </row>
    <row r="33" ht="26" customHeight="1">
      <c r="A33" s="10" t="inlineStr">
        <is>
          <t>12.3.4</t>
        </is>
      </c>
      <c r="B33" s="14" t="inlineStr">
        <is>
          <t>Annual technology review is accurately required but lacks a responsible owner and defined evidence record.</t>
        </is>
      </c>
      <c r="C33" s="10" t="inlineStr">
        <is>
          <t>T, A</t>
        </is>
      </c>
      <c r="D33" s="10" t="n"/>
      <c r="E33" s="10" t="inlineStr">
        <is>
          <t>Requirement 12</t>
        </is>
      </c>
    </row>
    <row r="34" ht="51" customHeight="1">
      <c r="A34" s="10" t="inlineStr">
        <is>
          <t>12.5.1–12.5.2</t>
        </is>
      </c>
      <c r="B34" s="14" t="inlineStr">
        <is>
          <t>Scope inventory and annual/significant-change validation are well described, but no scoping owner is named and no responsibility is assigned for maintaining the component inventory or data-flow diagrams.</t>
        </is>
      </c>
      <c r="C34" s="10" t="inlineStr">
        <is>
          <t>A</t>
        </is>
      </c>
      <c r="D34" s="10" t="n"/>
      <c r="E34" s="10" t="inlineStr">
        <is>
          <t>Requirement 12</t>
        </is>
      </c>
    </row>
    <row r="35" ht="38.5" customHeight="1">
      <c r="A35" s="10" t="inlineStr">
        <is>
          <t>12.6.1–12.6.3.2</t>
        </is>
      </c>
      <c r="B35" s="14" t="inlineStr">
        <is>
          <t>Awareness requirements are substantially complete, but there is no training owner or mechanism for following up non-completion. The existing annual course achieved only 78% completion.</t>
        </is>
      </c>
      <c r="C35" s="10" t="inlineStr">
        <is>
          <t>A</t>
        </is>
      </c>
      <c r="D35" s="10" t="n"/>
      <c r="E35" s="10" t="inlineStr">
        <is>
          <t>Requirement 12</t>
        </is>
      </c>
    </row>
    <row r="36" ht="38.5" customHeight="1">
      <c r="A36" s="10" t="inlineStr">
        <is>
          <t>12.7.1</t>
        </is>
      </c>
      <c r="B36" s="14" t="inlineStr">
        <is>
          <t>Pre-employment screening is required but there is no named HR/management owner, evidence requirement or exception process within the limits of local law.</t>
        </is>
      </c>
      <c r="C36" s="10" t="inlineStr">
        <is>
          <t>A</t>
        </is>
      </c>
      <c r="D36" s="10" t="n"/>
      <c r="E36" s="10" t="inlineStr">
        <is>
          <t>Requirement 12</t>
        </is>
      </c>
    </row>
    <row r="37" ht="51" customHeight="1">
      <c r="A37" s="10" t="inlineStr">
        <is>
          <t>12.8.1–12.8.5</t>
        </is>
      </c>
      <c r="B37" s="14" t="inlineStr">
        <is>
          <t>The five TPSP obligations are reproduced accurately but no supplier-management owner or operating workflow is specified. NorthPay currently has no complete supplier register, pre-contract due diligence, annual PCI-status monitoring or responsibility matrix.</t>
        </is>
      </c>
      <c r="C37" s="10" t="inlineStr">
        <is>
          <t>A</t>
        </is>
      </c>
      <c r="D37" s="10" t="n"/>
      <c r="E37" s="10" t="inlineStr">
        <is>
          <t>Requirement 12</t>
        </is>
      </c>
    </row>
    <row r="38" ht="51" customHeight="1">
      <c r="A38" s="10" t="inlineStr">
        <is>
          <t>12.10.1</t>
        </is>
      </c>
      <c r="B38" s="14" t="inlineStr">
        <is>
          <t>The incident-response requirement is reproduced, but the policy does not itself designate incident roles, contacts, escalation authority or acquirer/payment-brand contact paths. NorthPay currently has no security incident-response plan.</t>
        </is>
      </c>
      <c r="C38" s="10" t="inlineStr">
        <is>
          <t>A</t>
        </is>
      </c>
      <c r="D38" s="10" t="n"/>
      <c r="E38" s="10" t="inlineStr">
        <is>
          <t>Requirement 12</t>
        </is>
      </c>
    </row>
    <row r="39" ht="63.5" customHeight="1">
      <c r="A39" s="10" t="inlineStr">
        <is>
          <t>12.10.1</t>
        </is>
      </c>
      <c r="B39" s="14" t="inlineStr">
        <is>
          <t>The phrase “analysis of legal requirements for reporting compromises” is too generic for NorthPay's known legal environment. It does not map the UK GDPR requirement to notify the ICO within 72 hours where the statutory criteria are met, nor coordinate that clock with acquirer notification.</t>
        </is>
      </c>
      <c r="C39" s="10" t="inlineStr">
        <is>
          <t>A, L</t>
        </is>
      </c>
      <c r="D39" s="10" t="n"/>
      <c r="E39" s="10" t="inlineStr">
        <is>
          <t>Requirement 12</t>
        </is>
      </c>
    </row>
    <row r="40" ht="26" customHeight="1">
      <c r="A40" s="10" t="inlineStr">
        <is>
          <t>12.10.2</t>
        </is>
      </c>
      <c r="B40" s="14" t="inlineStr">
        <is>
          <t>Annual IR review and testing are stated, but no test owner, test method, evidence record or remediation process is assigned.</t>
        </is>
      </c>
      <c r="C40" s="10" t="inlineStr">
        <is>
          <t>A</t>
        </is>
      </c>
      <c r="D40" s="10" t="n"/>
      <c r="E40" s="10" t="inlineStr">
        <is>
          <t>Requirement 12</t>
        </is>
      </c>
    </row>
    <row r="41" ht="26" customHeight="1">
      <c r="A41" s="10" t="inlineStr">
        <is>
          <t>12.10.3</t>
        </is>
      </c>
      <c r="B41" s="14" t="inlineStr">
        <is>
          <t>The policy says “specific personnel are designated” for 24/7 response but does not designate them. This is not testable from the policy.</t>
        </is>
      </c>
      <c r="C41" s="10" t="inlineStr">
        <is>
          <t>A</t>
        </is>
      </c>
      <c r="D41" s="10" t="n"/>
      <c r="E41" s="10" t="inlineStr">
        <is>
          <t>Requirement 12</t>
        </is>
      </c>
    </row>
    <row r="42" ht="38.5" customHeight="1">
      <c r="A42" s="10" t="inlineStr">
        <is>
          <t>12.10.4–12.10.4.1</t>
        </is>
      </c>
      <c r="B42" s="14" t="inlineStr">
        <is>
          <t>Incident responders must be trained periodically, but no responders are named and the training cadence depends on a targeted risk analysis that does not exist.</t>
        </is>
      </c>
      <c r="C42" s="10" t="inlineStr">
        <is>
          <t>A</t>
        </is>
      </c>
      <c r="D42" s="10" t="n"/>
      <c r="E42" s="10" t="inlineStr">
        <is>
          <t>Requirement 12</t>
        </is>
      </c>
    </row>
    <row r="43" ht="38.5" customHeight="1">
      <c r="A43" s="10" t="inlineStr">
        <is>
          <t>12.10.5</t>
        </is>
      </c>
      <c r="B43" s="14" t="inlineStr">
        <is>
          <t>Alert-response categories are listed, but responsibility for receiving, triaging and escalating those alerts is absent; the current shared mailbox is not monitored 24/7.</t>
        </is>
      </c>
      <c r="C43" s="10" t="inlineStr">
        <is>
          <t>T, A</t>
        </is>
      </c>
      <c r="D43" s="10" t="n"/>
      <c r="E43" s="10" t="inlineStr">
        <is>
          <t>Requirement 12</t>
        </is>
      </c>
    </row>
    <row r="44" ht="38.5" customHeight="1">
      <c r="A44" s="10" t="inlineStr">
        <is>
          <t>12.10.6</t>
        </is>
      </c>
      <c r="B44" s="14" t="inlineStr">
        <is>
          <t>“Modified and evolved according to lessons learned” states the objective but does not define who conducts lessons-learned reviews or when changes must be made.</t>
        </is>
      </c>
      <c r="C44" s="10" t="inlineStr">
        <is>
          <t>A</t>
        </is>
      </c>
      <c r="D44" s="10" t="n"/>
      <c r="E44" s="10" t="inlineStr">
        <is>
          <t>Requirement 12</t>
        </is>
      </c>
    </row>
    <row r="45" ht="88.5" customHeight="1">
      <c r="A45" s="10" t="inlineStr">
        <is>
          <t>Cross-cutting 7.1.1, 8.1.1, 10.1.1, 12.1.1–12.1.2</t>
        </is>
      </c>
      <c r="B45" s="14" t="inlineStr">
        <is>
          <t>P2a declares numerous procedures to be documented, current and “in use,” but the scenario records outdated template policies, no formal review cycle, and several absent processes. The policy contains no implementation/effective-control mechanism for reconciling those declarations with actual practice. This is an enforceability/implementation weakness, not an RUB-01 accuracy defect.</t>
        </is>
      </c>
      <c r="C45" s="10" t="inlineStr">
        <is>
          <t>A</t>
        </is>
      </c>
      <c r="D45" s="10" t="n"/>
      <c r="E45" s="10" t="inlineStr">
        <is>
          <t>Requirement 7</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G35"/>
  <sheetViews>
    <sheetView topLeftCell="A29" zoomScaleNormal="100" workbookViewId="0">
      <selection activeCell="A32" sqref="A32:E35"/>
    </sheetView>
  </sheetViews>
  <sheetFormatPr baseColWidth="8" defaultColWidth="8.6328125" defaultRowHeight="14.5"/>
  <cols>
    <col width="20" customWidth="1" min="1" max="1"/>
    <col width="60" customWidth="1" min="2" max="2"/>
    <col width="8" customWidth="1" min="3" max="3"/>
    <col width="12" customWidth="1" min="4" max="4"/>
    <col width="18" customWidth="1" min="5" max="5"/>
    <col width="14" customWidth="1" min="6" max="6"/>
    <col width="11" customWidth="1" min="7" max="7"/>
  </cols>
  <sheetData>
    <row r="1" ht="15.5" customHeight="1">
      <c r="A1" s="8" t="inlineStr">
        <is>
          <t>Audit A(P2b): ChatGPT audits policy P2b</t>
        </is>
      </c>
    </row>
    <row r="2">
      <c r="A2" s="3" t="inlineStr">
        <is>
          <t>Scores (enter from the audit output; yellow cells only)</t>
        </is>
      </c>
    </row>
    <row r="3">
      <c r="A3" s="4" t="inlineStr">
        <is>
          <t>Requirement area</t>
        </is>
      </c>
      <c r="B3" s="4" t="inlineStr">
        <is>
          <t>Checklist total</t>
        </is>
      </c>
      <c r="C3" s="4" t="inlineStr">
        <is>
          <t>Coverage</t>
        </is>
      </c>
      <c r="D3" s="4" t="inlineStr">
        <is>
          <t>Accuracy</t>
        </is>
      </c>
      <c r="E3" s="4" t="inlineStr">
        <is>
          <t>Proportionality</t>
        </is>
      </c>
      <c r="F3" s="4" t="inlineStr">
        <is>
          <t>Enforceability</t>
        </is>
      </c>
      <c r="G3" s="4" t="inlineStr">
        <is>
          <t>Area score</t>
        </is>
      </c>
    </row>
    <row r="4">
      <c r="A4" s="6" t="inlineStr">
        <is>
          <t>Requirement 7</t>
        </is>
      </c>
      <c r="B4" s="7" t="n">
        <v>22</v>
      </c>
      <c r="C4" s="7" t="n">
        <v>92</v>
      </c>
      <c r="D4" s="7" t="n">
        <v>100</v>
      </c>
      <c r="E4" s="7" t="n">
        <v>90</v>
      </c>
      <c r="F4" s="7" t="n">
        <v>90</v>
      </c>
      <c r="G4" s="6">
        <f>IF(COUNT(C4:F4)=4,ROUND(C4*0.35+D4*0.25+E4*0.2+F4*0.2,0),"")</f>
        <v/>
      </c>
    </row>
    <row r="5">
      <c r="A5" s="6" t="inlineStr">
        <is>
          <t>Requirement 8</t>
        </is>
      </c>
      <c r="B5" s="7" t="n">
        <v>65</v>
      </c>
      <c r="C5" s="7" t="n">
        <v>90</v>
      </c>
      <c r="D5" s="7" t="n">
        <v>100</v>
      </c>
      <c r="E5" s="7" t="n">
        <v>90</v>
      </c>
      <c r="F5" s="7" t="n">
        <v>90</v>
      </c>
      <c r="G5" s="6">
        <f>IF(COUNT(C5:F5)=4,ROUND(C5*0.35+D5*0.25+E5*0.2+F5*0.2,0),"")</f>
        <v/>
      </c>
    </row>
    <row r="6">
      <c r="A6" s="6" t="inlineStr">
        <is>
          <t>Requirement 10</t>
        </is>
      </c>
      <c r="B6" s="7" t="n">
        <v>26</v>
      </c>
      <c r="C6" s="7" t="n">
        <v>96</v>
      </c>
      <c r="D6" s="7" t="n">
        <v>100</v>
      </c>
      <c r="E6" s="7" t="n">
        <v>90</v>
      </c>
      <c r="F6" s="7" t="n">
        <v>90</v>
      </c>
      <c r="G6" s="6">
        <f>IF(COUNT(C6:F6)=4,ROUND(C6*0.35+D6*0.25+E6*0.2+F6*0.2,0),"")</f>
        <v/>
      </c>
    </row>
    <row r="7">
      <c r="A7" s="6" t="inlineStr">
        <is>
          <t>Requirement 12</t>
        </is>
      </c>
      <c r="B7" s="7" t="n">
        <v>74</v>
      </c>
      <c r="C7" s="7" t="n">
        <v>85</v>
      </c>
      <c r="D7" s="7" t="n">
        <v>100</v>
      </c>
      <c r="E7" s="7" t="n">
        <v>85</v>
      </c>
      <c r="F7" s="7" t="n">
        <v>85</v>
      </c>
      <c r="G7" s="6">
        <f>IF(COUNT(C7:F7)=4,ROUND(C7*0.35+D7*0.25+E7*0.2+F7*0.2,0),"")</f>
        <v/>
      </c>
    </row>
    <row r="8">
      <c r="A8" s="9" t="inlineStr">
        <is>
          <t>Policy-level score</t>
        </is>
      </c>
      <c r="B8" s="9" t="n"/>
      <c r="C8" s="9" t="n"/>
      <c r="D8" s="9" t="n"/>
      <c r="E8" s="9" t="n"/>
      <c r="F8" s="9" t="n"/>
      <c r="G8" s="9">
        <f>IF(COUNT(G4:G7)=4,ROUND(AVERAGE(G4:G7),0),"")</f>
        <v/>
      </c>
    </row>
    <row r="10">
      <c r="A10" s="3" t="inlineStr">
        <is>
          <t>Findings (one row per finding; Tag: T/A/L, both allowed; Severity: Critical/Major/Minor)</t>
        </is>
      </c>
    </row>
    <row r="11">
      <c r="A11" s="4" t="inlineStr">
        <is>
          <t>Sub-requirement</t>
        </is>
      </c>
      <c r="B11" s="4" t="inlineStr">
        <is>
          <t>Finding</t>
        </is>
      </c>
      <c r="C11" s="4" t="inlineStr">
        <is>
          <t>Tag</t>
        </is>
      </c>
      <c r="D11" s="4" t="inlineStr">
        <is>
          <t>Severity</t>
        </is>
      </c>
      <c r="E11" s="4" t="inlineStr">
        <is>
          <t>Requirement area</t>
        </is>
      </c>
    </row>
    <row r="12" ht="63.5" customHeight="1">
      <c r="A12" s="10" t="inlineStr">
        <is>
          <t>8.3.3</t>
        </is>
      </c>
      <c r="B12" s="14" t="inlineStr">
        <is>
          <t>Requirement 8.3.3 — identity verification before authentication-factor changes is absent. Section 4.2 requires approval before modification but never requires verification of the requesting user's identity before an authentication factor is changed. Tag: Technical/Administrative. Severity: Major.</t>
        </is>
      </c>
      <c r="C12" s="14" t="n"/>
      <c r="D12" s="14" t="n"/>
      <c r="E12" s="10" t="inlineStr">
        <is>
          <t>Requirement 8</t>
        </is>
      </c>
    </row>
    <row r="13" ht="88.5" customHeight="1">
      <c r="A13" s="10" t="inlineStr">
        <is>
          <t>12.3.3 and 12.3.4</t>
        </is>
      </c>
      <c r="B13" s="14" t="inlineStr">
        <is>
          <t>Requirements 12.3.3 and 12.3.4 — cryptographic and technology reviews are absent. The policy does not require an annual inventory/review of cipher suites and protocols, monitoring of their continued viability, a response plan for cryptographic weaknesses, or annual review of hardware/software supportability and end-of-life status. This is especially material because NorthPay presently has no cryptographic inventory. Tag: Technical/Administrative. Severity: Major.</t>
        </is>
      </c>
      <c r="C13" s="14" t="n"/>
      <c r="D13" s="14" t="n"/>
      <c r="E13" s="10" t="inlineStr">
        <is>
          <t>Requirement 12</t>
        </is>
      </c>
    </row>
    <row r="14" ht="101" customHeight="1">
      <c r="A14" s="10" t="inlineStr">
        <is>
          <t>12.5.2</t>
        </is>
      </c>
      <c r="B14" s="14" t="inlineStr">
        <is>
          <t>Requirement 12.5.2 — annual PCI scoping validation is materially abbreviated. Section 6.4 names data flows, account-data locations, system components, segmentation and third-party connections, but does not expressly require updating data-flow diagrams, checking locations outside the currently defined CDE and backups, documenting justification for out-of-scope environments, or confirming that every identified flow/component/connection is included. Tag: Administrative. Severity: Major.</t>
        </is>
      </c>
      <c r="C14" s="14" t="n"/>
      <c r="D14" s="14" t="n"/>
      <c r="E14" s="10" t="inlineStr">
        <is>
          <t>Requirement 12</t>
        </is>
      </c>
    </row>
    <row r="15" ht="51" customHeight="1">
      <c r="A15" s="10" t="inlineStr">
        <is>
          <t>12.2.1</t>
        </is>
      </c>
      <c r="B15" s="14" t="inlineStr">
        <is>
          <t>Requirement 12.2.1 — acceptable-use content is incomplete. Section 6.2 states that acceptable-use rules exist but does not expressly require authorized approval or a maintained list of company-approved hardware and software. Tag: Administrative. Severity: Major.</t>
        </is>
      </c>
      <c r="C15" s="14" t="n"/>
      <c r="D15" s="14" t="n"/>
      <c r="E15" s="10" t="inlineStr">
        <is>
          <t>Requirement 12</t>
        </is>
      </c>
    </row>
    <row r="16" ht="63.5" customHeight="1">
      <c r="A16" s="10" t="inlineStr">
        <is>
          <t>12.6.2</t>
        </is>
      </c>
      <c r="B16" s="14" t="inlineStr">
        <is>
          <t>Requirement 12.6.2 — annual review of the awareness programme itself is not stated. Annual personnel training and annual policy review are specified, but the awareness programme is not expressly required to be reviewed annually and updated for new threats and vulnerabilities. Tag: Administrative. Severity: Major.</t>
        </is>
      </c>
      <c r="C16" s="14" t="n"/>
      <c r="D16" s="14" t="n"/>
      <c r="E16" s="10" t="inlineStr">
        <is>
          <t>Requirement 12</t>
        </is>
      </c>
    </row>
    <row r="17" ht="76" customHeight="1">
      <c r="A17" s="10" t="inlineStr">
        <is>
          <t>12.10.5</t>
        </is>
      </c>
      <c r="B17" s="14" t="inlineStr">
        <is>
          <t>Requirement 12.10.5 — incident-monitoring coverage is too generic. “Monitoring and response to alerts from security systems” does not expressly encompass the listed sources, including network security controls, critical-file change detection, payment-page change/tamper detection and unauthorized wireless-access-point detection. Tag: Technical/Administrative. Severity: Major.</t>
        </is>
      </c>
      <c r="C17" s="14" t="n"/>
      <c r="D17" s="14" t="n"/>
      <c r="E17" s="10" t="inlineStr">
        <is>
          <t>Requirement 12</t>
        </is>
      </c>
    </row>
    <row r="18" ht="51" customHeight="1">
      <c r="A18" s="10" t="inlineStr">
        <is>
          <t>8.6.3</t>
        </is>
      </c>
      <c r="B18" s="14" t="inlineStr">
        <is>
          <t>Requirement 8.6.3 — system-account password complexity is incomplete. Section 4.11 states the TRA-defined change frequency and change upon suspected compromise, but does not require complexity appropriate to that frequency. Tag: Technical. Severity: Major.</t>
        </is>
      </c>
      <c r="C18" s="14" t="n"/>
      <c r="D18" s="14" t="n"/>
      <c r="E18" s="10" t="inlineStr">
        <is>
          <t>Requirement 8</t>
        </is>
      </c>
    </row>
    <row r="19" ht="51" customHeight="1">
      <c r="A19" s="10" t="inlineStr">
        <is>
          <t>8.3.8</t>
        </is>
      </c>
      <c r="B19" s="14" t="inlineStr">
        <is>
          <t>Requirement 8.3.8 — compromise instructions are incomplete. Section 4.12 requires reporting suspected compromise but does not explicitly instruct users to change a password/passphrase where compromise is suspected or known. Tag: Administrative. Severity: Minor.</t>
        </is>
      </c>
      <c r="C19" s="14" t="n"/>
      <c r="D19" s="14" t="n"/>
      <c r="E19" s="10" t="inlineStr">
        <is>
          <t>Requirement 8</t>
        </is>
      </c>
    </row>
    <row r="20" ht="63.5" customHeight="1">
      <c r="A20" s="10" t="inlineStr">
        <is>
          <t>8.2.2</t>
        </is>
      </c>
      <c r="B20" s="14" t="inlineStr">
        <is>
          <t>Requirement 8.2.2 — shared-account exception controls omit an explicit identity-verification step. The policy makes exceptional use attributable to an individual but does not expressly require confirmation of that individual's identity before access is granted. Tag: Technical/Administrative. Severity: Minor.</t>
        </is>
      </c>
      <c r="C20" s="14" t="n"/>
      <c r="D20" s="14" t="n"/>
      <c r="E20" s="10" t="inlineStr">
        <is>
          <t>Requirement 8</t>
        </is>
      </c>
    </row>
    <row r="21" ht="63.5" customHeight="1">
      <c r="A21" s="10" t="inlineStr">
        <is>
          <t>7.1.1, 8.1.1 and 10.1.1</t>
        </is>
      </c>
      <c r="B21" s="14" t="inlineStr">
        <is>
          <t>Requirements 7.1.1, 8.1.1 and 10.1.1 — supporting operational procedures are not demonstrably established. The policy itself is documented and current, but it does not establish that all associated Requirement 7/8/10 operational procedures are documented, current, in use and known to affected parties. Tag: Administrative. Severity: Minor.</t>
        </is>
      </c>
      <c r="C21" s="14" t="n"/>
      <c r="D21" s="14" t="n"/>
      <c r="E21" s="10" t="inlineStr">
        <is>
          <t>Requirement 7</t>
        </is>
      </c>
    </row>
    <row r="22" ht="76" customHeight="1">
      <c r="A22" s="10" t="inlineStr">
        <is>
          <t>7.2.5.1</t>
        </is>
      </c>
      <c r="B22" s="14" t="inlineStr">
        <is>
          <t>Requirement 7.2.5.1 — remediation of inappropriate application/system-account access is implicit rather than explicit. Section 3.4 requires review and management acknowledgement but omits the express requirement that inappropriate application/system-account access identified by that review be addressed. Tag: Administrative/Technical. Severity: Minor.</t>
        </is>
      </c>
      <c r="C22" s="14" t="n"/>
      <c r="D22" s="14" t="n"/>
      <c r="E22" s="10" t="inlineStr">
        <is>
          <t>Requirement 7</t>
        </is>
      </c>
    </row>
    <row r="23" ht="88.5" customHeight="1">
      <c r="A23" s="10" t="inlineStr">
        <is>
          <t>8.2.8</t>
        </is>
      </c>
      <c r="B23" s="14" t="inlineStr">
        <is>
          <t>Requirement 8.2.8 — policy and operating environment conflict. Section 4.5 correctly mandates re-authentication after 15 minutes, but the scenario says order-management sessions currently remain active while the browser tab is open and administrative console sessions time out after 60 minutes. The policy is compliant wording but is not presently enforceable across the stated environment. Tag: Technical. Severity: Major.</t>
        </is>
      </c>
      <c r="C23" s="14" t="n"/>
      <c r="D23" s="14" t="n"/>
      <c r="E23" s="10" t="inlineStr">
        <is>
          <t>Requirement 8</t>
        </is>
      </c>
    </row>
    <row r="24" ht="76" customHeight="1">
      <c r="A24" s="10" t="inlineStr">
        <is>
          <t>8.4.1</t>
        </is>
      </c>
      <c r="B24" s="14" t="inlineStr">
        <is>
          <t>Requirements 8.4.1–8.4.3 — policy and MFA implementation conflict. Section 4.9 correctly states the PCI requirement, but MFA is presently enforced only for AWS and the collaboration suite. The order-management platform, PSP portal and other relevant paths therefore lack evidence that the stated policy has been implemented. Tag: Technical. Severity: Major.</t>
        </is>
      </c>
      <c r="C24" s="14" t="n"/>
      <c r="D24" s="14" t="n"/>
      <c r="E24" s="10" t="inlineStr">
        <is>
          <t>Requirement 8</t>
        </is>
      </c>
    </row>
    <row r="25" ht="76" customHeight="1">
      <c r="A25" s="10" t="inlineStr">
        <is>
          <t>8.2.5</t>
        </is>
      </c>
      <c r="B25" s="14" t="inlineStr">
        <is>
          <t>Requirements 8.2.5/8.2.6 — lifecycle enforcement is weak. The policy requires immediate termination and 90-day inactivity handling, but NorthPay has no automatic de-provisioning and SaaS removal is manual. Manual operation is not itself prohibited, but evidence is needed that the stated deadlines are consistently achieved. Tag: Administrative/Technical. Severity: Minor.</t>
        </is>
      </c>
      <c r="C25" s="14" t="n"/>
      <c r="D25" s="14" t="n"/>
      <c r="E25" s="10" t="inlineStr">
        <is>
          <t>Requirement 8</t>
        </is>
      </c>
    </row>
    <row r="26" ht="51" customHeight="1">
      <c r="A26" s="10" t="inlineStr">
        <is>
          <t>10.5.1</t>
        </is>
      </c>
      <c r="B26" s="14" t="inlineStr">
        <is>
          <t>Requirement 10.5.1 — current log retention directly conflicts with the policy. Section 5.6 correctly requires 12 months with three months immediately available, while the current SIEM deletes/overwrites logs after 90 days and has no archive. Tag: Technical. Severity: Major.</t>
        </is>
      </c>
      <c r="C26" s="14" t="n"/>
      <c r="D26" s="14" t="n"/>
      <c r="E26" s="10" t="inlineStr">
        <is>
          <t>Requirement 10</t>
        </is>
      </c>
    </row>
    <row r="27" ht="88.5" customHeight="1">
      <c r="A27" s="10" t="inlineStr">
        <is>
          <t>10.4.1</t>
        </is>
      </c>
      <c r="B27" s="14" t="inlineStr">
        <is>
          <t>Requirements 10.4.1–10.4.3 — the daily-review control lacks demonstrated operating coverage. Alerts currently reach a mailbox monitored only 08:00–18:00 on working days, and the order-management administrator log is not forwarded to the SIEM. The policy states the required daily reviews but does not explain how NorthPay will reliably execute them across all relevant sources. Tag: Technical/Administrative. Severity: Major.</t>
        </is>
      </c>
      <c r="C27" s="14" t="n"/>
      <c r="D27" s="14" t="n"/>
      <c r="E27" s="10" t="inlineStr">
        <is>
          <t>Requirement 10</t>
        </is>
      </c>
    </row>
    <row r="28" ht="51" customHeight="1">
      <c r="A28" s="10" t="inlineStr">
        <is>
          <t>12.3.1</t>
        </is>
      </c>
      <c r="B28" s="14" t="inlineStr">
        <is>
          <t>Requirement 12.3.1 — TRA wording is sound but the required analyses do not presently exist. This makes the frequencies delegated to TRA in 7.2.5.1, 8.6.3, 10.4.2.1 and 12.10.4.1 operationally undefined until the analyses are completed. Tag: Administrative. Severity: Major.</t>
        </is>
      </c>
      <c r="C28" s="14" t="n"/>
      <c r="D28" s="14" t="n"/>
      <c r="E28" s="10" t="inlineStr">
        <is>
          <t>Requirement 12</t>
        </is>
      </c>
    </row>
    <row r="29" ht="76" customHeight="1">
      <c r="A29" s="10" t="inlineStr">
        <is>
          <t>12.8</t>
        </is>
      </c>
      <c r="B29" s="14" t="inlineStr">
        <is>
          <t>Requirement 12.8 — the policy describes a TPSP programme that the organisation does not presently operate. The scenario states that there is no supplier register, engagement due diligence, annual review or responsibility matrix. Sections 6.7 therefore state appropriate controls but do not establish an operating programme. Tag: Administrative. Severity: Major.</t>
        </is>
      </c>
      <c r="C29" s="14" t="n"/>
      <c r="D29" s="14" t="n"/>
      <c r="E29" s="10" t="inlineStr">
        <is>
          <t>Requirement 12</t>
        </is>
      </c>
    </row>
    <row r="30" ht="76" customHeight="1">
      <c r="A30" s="10" t="inlineStr">
        <is>
          <t>12.10</t>
        </is>
      </c>
      <c r="B30" s="14" t="inlineStr">
        <is>
          <t>Requirement 12.10 — the policy describes an incident-response capability that does not presently exist. NorthPay currently has no security-specific incident-response plan, assigned card-compromise roles or tested acquirer-notification path. The policy alone cannot discharge these operational requirements. Tag: Administrative/Technical. Severity: Major.</t>
        </is>
      </c>
      <c r="C30" s="14" t="n"/>
      <c r="D30" s="14" t="n"/>
      <c r="E30" s="10" t="inlineStr">
        <is>
          <t>Requirement 12</t>
        </is>
      </c>
    </row>
    <row r="31" ht="63.5" customHeight="1">
      <c r="A31" s="10" t="inlineStr">
        <is>
          <t>12.10.3</t>
        </is>
      </c>
      <c r="B31" s="14" t="inlineStr">
        <is>
          <t>Requirement 12.10.3 — 24/7 availability needs an operable on-call mechanism. The policy appropriately requires designated personnel rather than unnecessarily requiring a 24/7 SOC, which is proportionate for NorthPay, but no rota, escalation mechanism or equivalent arrangement is identified. Tag: Administrative. Severity: Minor.</t>
        </is>
      </c>
      <c r="C31" s="14" t="n"/>
      <c r="D31" s="14" t="n"/>
      <c r="E31" s="10" t="inlineStr">
        <is>
          <t>Requirement 12</t>
        </is>
      </c>
    </row>
    <row r="32" ht="51" customHeight="1">
      <c r="A32" s="10" t="inlineStr">
        <is>
          <t>12.6</t>
        </is>
      </c>
      <c r="B32" s="14" t="inlineStr">
        <is>
          <t>Requirement 12.6 — training is not yet operating at the policy's stated level. The current 78% annual completion rate and absence of role-specific training conflict with section 6.5. Tag: Administrative. Severity: Major.</t>
        </is>
      </c>
      <c r="C32" s="14" t="n"/>
      <c r="D32" s="14" t="n"/>
      <c r="E32" s="10" t="inlineStr">
        <is>
          <t>Requirement 12</t>
        </is>
      </c>
    </row>
    <row r="33" ht="51" customHeight="1">
      <c r="A33" s="10" t="inlineStr">
        <is>
          <t>12.2.1</t>
        </is>
      </c>
      <c r="B33" s="14" t="inlineStr">
        <is>
          <t>Requirement 12.2.1 — personal-device restriction is not currently technically enforced. Section 6.2 says conditional access enforces the restriction, whereas the scenario states it is presently enforced only by convention. Tag: Technical. Severity: Major.</t>
        </is>
      </c>
      <c r="C33" s="14" t="n"/>
      <c r="D33" s="14" t="n"/>
      <c r="E33" s="10" t="inlineStr">
        <is>
          <t>Requirement 12</t>
        </is>
      </c>
    </row>
    <row r="34" ht="76" customHeight="1">
      <c r="A34" s="10" t="n"/>
      <c r="B34" s="14" t="inlineStr">
        <is>
          <t>UK GDPR retention governance remains incomplete. Section 5.7 promises documented retention schedules within three months, but the scenario has no defined retention periods for support tickets, marketing lists or log data. The forward commitment is useful but does not itself establish the required governance. Tag: Legislative/Administrative. Severity: Minor.</t>
        </is>
      </c>
      <c r="C34" s="14" t="n"/>
      <c r="D34" s="14" t="n"/>
      <c r="E34" s="10" t="n"/>
    </row>
    <row r="35" ht="76" customHeight="1">
      <c r="A35" s="10" t="n"/>
      <c r="B35" s="14" t="inlineStr">
        <is>
          <t>UK GDPR/card-compromise notification integration is not presently operational. Section 6.8 correctly calls for mapped ICO and PCI/acquirer paths, but the scenario confirms no internal procedure capable of reliably meeting the statutory 72-hour process and no tested relationship between the two notification paths. Tag: Legislative/Administrative. Severity: Major.</t>
        </is>
      </c>
      <c r="C35" s="14" t="n"/>
      <c r="D35" s="14" t="n"/>
      <c r="E35" s="10" t="n"/>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H6"/>
  <sheetViews>
    <sheetView zoomScaleNormal="100" workbookViewId="0">
      <selection activeCell="A1" sqref="A1"/>
    </sheetView>
  </sheetViews>
  <sheetFormatPr baseColWidth="8" defaultColWidth="8.6328125" defaultRowHeight="14.5"/>
  <cols>
    <col width="10" customWidth="1" min="1" max="1"/>
    <col width="12" customWidth="1" min="2" max="2"/>
    <col width="8" customWidth="1" min="3" max="3"/>
    <col width="9" customWidth="1" min="4" max="7"/>
    <col width="12" customWidth="1" min="8" max="8"/>
  </cols>
  <sheetData>
    <row r="1" ht="15.5" customHeight="1">
      <c r="A1" s="8" t="inlineStr">
        <is>
          <t>Phase 2 summary (fills itself from the audit sheets)</t>
        </is>
      </c>
    </row>
    <row r="2">
      <c r="A2" s="4" t="inlineStr">
        <is>
          <t>Audit</t>
        </is>
      </c>
      <c r="B2" s="4" t="inlineStr">
        <is>
          <t>Auditor</t>
        </is>
      </c>
      <c r="C2" s="4" t="inlineStr">
        <is>
          <t>Policy</t>
        </is>
      </c>
      <c r="D2" s="4" t="inlineStr">
        <is>
          <t>Req 7</t>
        </is>
      </c>
      <c r="E2" s="4" t="inlineStr">
        <is>
          <t>Req 8</t>
        </is>
      </c>
      <c r="F2" s="4" t="inlineStr">
        <is>
          <t>Req 10</t>
        </is>
      </c>
      <c r="G2" s="4" t="inlineStr">
        <is>
          <t>Req 12</t>
        </is>
      </c>
      <c r="H2" s="4" t="inlineStr">
        <is>
          <t>Policy score</t>
        </is>
      </c>
    </row>
    <row r="3">
      <c r="A3" s="6" t="inlineStr">
        <is>
          <t>A(P1a)</t>
        </is>
      </c>
      <c r="B3" s="6" t="inlineStr">
        <is>
          <t>Grok</t>
        </is>
      </c>
      <c r="C3" s="6" t="inlineStr">
        <is>
          <t>P1a</t>
        </is>
      </c>
      <c r="D3" s="6">
        <f>'A(P1a)'!G4</f>
        <v/>
      </c>
      <c r="E3" s="6">
        <f>'A(P1a)'!G5</f>
        <v/>
      </c>
      <c r="F3" s="6">
        <f>'A(P1a)'!G6</f>
        <v/>
      </c>
      <c r="G3" s="6">
        <f>'A(P1a)'!G7</f>
        <v/>
      </c>
      <c r="H3" s="6">
        <f>'A(P1a)'!G8</f>
        <v/>
      </c>
    </row>
    <row r="4">
      <c r="A4" s="6" t="inlineStr">
        <is>
          <t>A(P1b)</t>
        </is>
      </c>
      <c r="B4" s="6" t="inlineStr">
        <is>
          <t>Grok</t>
        </is>
      </c>
      <c r="C4" s="6" t="inlineStr">
        <is>
          <t>P1b</t>
        </is>
      </c>
      <c r="D4" s="6">
        <f>'A(P1b)'!G4</f>
        <v/>
      </c>
      <c r="E4" s="6">
        <f>'A(P1b)'!G5</f>
        <v/>
      </c>
      <c r="F4" s="6">
        <f>'A(P1b)'!G6</f>
        <v/>
      </c>
      <c r="G4" s="6">
        <f>'A(P1b)'!G7</f>
        <v/>
      </c>
      <c r="H4" s="6">
        <f>'A(P1b)'!G8</f>
        <v/>
      </c>
    </row>
    <row r="5">
      <c r="A5" s="6" t="inlineStr">
        <is>
          <t>A(P2a)</t>
        </is>
      </c>
      <c r="B5" s="6" t="inlineStr">
        <is>
          <t>ChatGPT</t>
        </is>
      </c>
      <c r="C5" s="6" t="inlineStr">
        <is>
          <t>P2a</t>
        </is>
      </c>
      <c r="D5" s="6">
        <f>'A(P2a)'!G4</f>
        <v/>
      </c>
      <c r="E5" s="6">
        <f>'A(P2a)'!G5</f>
        <v/>
      </c>
      <c r="F5" s="6">
        <f>'A(P2a)'!G6</f>
        <v/>
      </c>
      <c r="G5" s="6">
        <f>'A(P2a)'!G7</f>
        <v/>
      </c>
      <c r="H5" s="6">
        <f>'A(P2a)'!G8</f>
        <v/>
      </c>
    </row>
    <row r="6">
      <c r="A6" s="6" t="inlineStr">
        <is>
          <t>A(P2b)</t>
        </is>
      </c>
      <c r="B6" s="6" t="inlineStr">
        <is>
          <t>ChatGPT</t>
        </is>
      </c>
      <c r="C6" s="6" t="inlineStr">
        <is>
          <t>P2b</t>
        </is>
      </c>
      <c r="D6" s="6">
        <f>'A(P2b)'!G4</f>
        <v/>
      </c>
      <c r="E6" s="6">
        <f>'A(P2b)'!G5</f>
        <v/>
      </c>
      <c r="F6" s="6">
        <f>'A(P2b)'!G6</f>
        <v/>
      </c>
      <c r="G6" s="6">
        <f>'A(P2b)'!G7</f>
        <v/>
      </c>
      <c r="H6" s="6">
        <f>'A(P2b)'!G8</f>
        <v/>
      </c>
    </row>
  </sheetData>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I7"/>
  <sheetViews>
    <sheetView zoomScaleNormal="100" workbookViewId="0">
      <selection activeCell="E8" sqref="E8"/>
    </sheetView>
  </sheetViews>
  <sheetFormatPr baseColWidth="8" defaultColWidth="8.6328125" defaultRowHeight="14.5"/>
  <cols>
    <col width="20" customWidth="1" min="1" max="1"/>
    <col width="10" customWidth="1" min="2" max="2"/>
    <col width="16" customWidth="1" min="3" max="3"/>
    <col width="10" customWidth="1" min="4" max="4"/>
    <col width="20" customWidth="1" min="5" max="5"/>
    <col width="50.1796875" customWidth="1" min="6" max="6"/>
    <col width="40" customWidth="1" min="7" max="7"/>
    <col width="20" customWidth="1" min="8" max="9"/>
  </cols>
  <sheetData>
    <row r="1">
      <c r="A1" s="4" t="inlineStr">
        <is>
          <t>Run</t>
        </is>
      </c>
      <c r="B1" s="4" t="inlineStr">
        <is>
          <t>Model</t>
        </is>
      </c>
      <c r="C1" s="4" t="inlineStr">
        <is>
          <t>Build</t>
        </is>
      </c>
      <c r="D1" s="4" t="inlineStr">
        <is>
          <t>Interface</t>
        </is>
      </c>
      <c r="E1" s="4" t="inlineStr">
        <is>
          <t>Date and time (BST)</t>
        </is>
      </c>
      <c r="F1" s="4" t="inlineStr">
        <is>
          <t>Prompt file used</t>
        </is>
      </c>
      <c r="G1" s="4" t="inlineStr">
        <is>
          <t>Output file</t>
        </is>
      </c>
      <c r="H1" s="4" t="inlineStr">
        <is>
          <t>Refusal or truncation</t>
        </is>
      </c>
      <c r="I1" s="4" t="inlineStr">
        <is>
          <t>Non-default settings</t>
        </is>
      </c>
    </row>
    <row r="2">
      <c r="A2" s="6" t="inlineStr">
        <is>
          <t>Calibration, ChatGPT</t>
        </is>
      </c>
      <c r="B2" s="6" t="inlineStr">
        <is>
          <t>ChatGPT</t>
        </is>
      </c>
      <c r="C2" s="7" t="inlineStr">
        <is>
          <t>5.6 SoL</t>
        </is>
      </c>
      <c r="D2" s="7" t="inlineStr">
        <is>
          <t>Web UI</t>
        </is>
      </c>
      <c r="E2" s="12" t="inlineStr">
        <is>
          <t>22/08/2026 - 01:05</t>
        </is>
      </c>
      <c r="F2" s="6" t="inlineStr">
        <is>
          <t>PROMPT-CAL_Calibration_ASSEMBLED_2026-08-22.txt</t>
        </is>
      </c>
      <c r="G2" s="7" t="inlineStr">
        <is>
          <t>CAL_ChatGPT_PromptCAL_2026-08-22.txt</t>
        </is>
      </c>
      <c r="H2" s="7" t="inlineStr">
        <is>
          <t>None</t>
        </is>
      </c>
      <c r="I2" s="7" t="inlineStr">
        <is>
          <t>None</t>
        </is>
      </c>
    </row>
    <row r="3">
      <c r="A3" s="6" t="inlineStr">
        <is>
          <t>Calibration, Grok</t>
        </is>
      </c>
      <c r="B3" s="6" t="inlineStr">
        <is>
          <t>Grok</t>
        </is>
      </c>
      <c r="C3" s="7" t="inlineStr">
        <is>
          <t>Grok 4.5</t>
        </is>
      </c>
      <c r="D3" s="7" t="inlineStr">
        <is>
          <t>Web UI</t>
        </is>
      </c>
      <c r="E3" s="12" t="inlineStr">
        <is>
          <t>22/08/2026 - 01:10</t>
        </is>
      </c>
      <c r="F3" s="6" t="inlineStr">
        <is>
          <t>PROMPT-CAL_Calibration_ASSEMBLED_2026-08-22.txt</t>
        </is>
      </c>
      <c r="G3" s="7" t="inlineStr">
        <is>
          <t>CAL_Grok_PromptCAL_2026-08-22.txt</t>
        </is>
      </c>
      <c r="H3" s="7" t="inlineStr">
        <is>
          <t>None</t>
        </is>
      </c>
      <c r="I3" s="7" t="inlineStr">
        <is>
          <t>None</t>
        </is>
      </c>
    </row>
    <row r="4">
      <c r="A4" s="6" t="inlineStr">
        <is>
          <t>A(P1a)</t>
        </is>
      </c>
      <c r="B4" s="6" t="inlineStr">
        <is>
          <t>Grok</t>
        </is>
      </c>
      <c r="C4" s="7" t="inlineStr">
        <is>
          <t>Grok 4.5</t>
        </is>
      </c>
      <c r="D4" s="7" t="inlineStr">
        <is>
          <t>Web UI</t>
        </is>
      </c>
      <c r="E4" s="12" t="inlineStr">
        <is>
          <t>22/08/2026 - 02:10</t>
        </is>
      </c>
      <c r="F4" s="6" t="inlineStr">
        <is>
          <t>PROMPT-C_Audit-of-P1a_ASSEMBLED_2026-08-22.txt</t>
        </is>
      </c>
      <c r="G4" s="7" t="inlineStr">
        <is>
          <t>A(P1a)_Grok_PromptC_2026-08-22.txt</t>
        </is>
      </c>
      <c r="H4" s="7" t="inlineStr">
        <is>
          <t>None</t>
        </is>
      </c>
      <c r="I4" s="7" t="inlineStr">
        <is>
          <t>None</t>
        </is>
      </c>
    </row>
    <row r="5">
      <c r="A5" s="6" t="inlineStr">
        <is>
          <t>A(P1b)</t>
        </is>
      </c>
      <c r="B5" s="6" t="inlineStr">
        <is>
          <t>Grok</t>
        </is>
      </c>
      <c r="C5" s="7" t="inlineStr">
        <is>
          <t>Grok 4.5</t>
        </is>
      </c>
      <c r="D5" s="7" t="inlineStr">
        <is>
          <t>Web UI</t>
        </is>
      </c>
      <c r="E5" s="12" t="inlineStr">
        <is>
          <t>22/08/2026 - 02:15</t>
        </is>
      </c>
      <c r="F5" s="6" t="inlineStr">
        <is>
          <t>PROMPT-C_Audit-of-P1b_ASSEMBLED_2026-08-22.txt</t>
        </is>
      </c>
      <c r="G5" s="7" t="inlineStr">
        <is>
          <t>A(P1b)_Grok_PromptC_2026-08-22.txt</t>
        </is>
      </c>
      <c r="H5" s="7" t="inlineStr">
        <is>
          <t>None</t>
        </is>
      </c>
      <c r="I5" s="7" t="inlineStr">
        <is>
          <t>None</t>
        </is>
      </c>
    </row>
    <row r="6">
      <c r="A6" s="6" t="inlineStr">
        <is>
          <t>A(P2a)</t>
        </is>
      </c>
      <c r="B6" s="6" t="inlineStr">
        <is>
          <t>ChatGPT</t>
        </is>
      </c>
      <c r="C6" s="7" t="inlineStr">
        <is>
          <t>5.6 SoL</t>
        </is>
      </c>
      <c r="D6" s="7" t="inlineStr">
        <is>
          <t>Web UI</t>
        </is>
      </c>
      <c r="E6" s="12" t="inlineStr">
        <is>
          <t>22/08/2026 - 02:20</t>
        </is>
      </c>
      <c r="F6" s="6" t="inlineStr">
        <is>
          <t>PROMPT-C_Audit-of-P2a_ASSEMBLED_2026-08-22.txt</t>
        </is>
      </c>
      <c r="G6" s="7" t="inlineStr">
        <is>
          <t>A(P2a)_ChatGPT_PromptC_2026-08-22.txt</t>
        </is>
      </c>
      <c r="H6" s="7" t="inlineStr">
        <is>
          <t>None</t>
        </is>
      </c>
      <c r="I6" s="7" t="inlineStr">
        <is>
          <t>None</t>
        </is>
      </c>
    </row>
    <row r="7">
      <c r="A7" s="6" t="inlineStr">
        <is>
          <t>A(P2b)</t>
        </is>
      </c>
      <c r="B7" s="6" t="inlineStr">
        <is>
          <t>ChatGPT</t>
        </is>
      </c>
      <c r="C7" s="7" t="inlineStr">
        <is>
          <t>5.6 SoL</t>
        </is>
      </c>
      <c r="D7" s="7" t="inlineStr">
        <is>
          <t>Web UI</t>
        </is>
      </c>
      <c r="E7" s="12" t="inlineStr">
        <is>
          <t>22/08/2026 - 02:30</t>
        </is>
      </c>
      <c r="F7" s="6" t="inlineStr">
        <is>
          <t>PROMPT-C_Audit-of-P2b_ASSEMBLED_2026-08-22.txt</t>
        </is>
      </c>
      <c r="G7" s="7" t="inlineStr">
        <is>
          <t>A(P2b)_ChatGPT_PromptC_2026-08-22.txt</t>
        </is>
      </c>
      <c r="H7" s="7" t="inlineStr">
        <is>
          <t>None</t>
        </is>
      </c>
      <c r="I7" s="7" t="inlineStr">
        <is>
          <t>None</t>
        </is>
      </c>
    </row>
  </sheetData>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4.5"/>
  <cols>
    <col width="13" customWidth="1" min="1" max="1"/>
    <col width="8" customWidth="1" min="2" max="2"/>
    <col width="17" customWidth="1" min="3" max="3"/>
    <col width="20" customWidth="1" min="4" max="4"/>
    <col width="10" customWidth="1" min="5" max="6"/>
    <col width="15" customWidth="1" min="7" max="8"/>
    <col width="11" customWidth="1" min="9" max="9"/>
  </cols>
  <sheetData>
    <row r="1">
      <c r="A1" s="15" t="inlineStr">
        <is>
          <t>Phase 4 human reviewer scores (RESP-01 v4.0, RUB-01 v8.1). Entered from the returned _v2 forms.</t>
        </is>
      </c>
    </row>
    <row r="2">
      <c r="A2" t="inlineStr">
        <is>
          <t>Reviewers are identified by code only. The code-to-name mapping is held outside this workbook and is not reproduced in the dissertation.</t>
        </is>
      </c>
    </row>
    <row r="3">
      <c r="A3" s="16" t="inlineStr">
        <is>
          <t>Reviewer</t>
        </is>
      </c>
      <c r="B3" s="16" t="inlineStr">
        <is>
          <t>Policy</t>
        </is>
      </c>
      <c r="C3" s="16" t="inlineStr">
        <is>
          <t>Requirement area</t>
        </is>
      </c>
      <c r="D3" s="16" t="inlineStr">
        <is>
          <t>Req 8 checklist points</t>
        </is>
      </c>
      <c r="E3" s="16" t="inlineStr">
        <is>
          <t>Coverage</t>
        </is>
      </c>
      <c r="F3" s="16" t="inlineStr">
        <is>
          <t>Accuracy</t>
        </is>
      </c>
      <c r="G3" s="16" t="inlineStr">
        <is>
          <t>Proportionality</t>
        </is>
      </c>
      <c r="H3" s="16" t="inlineStr">
        <is>
          <t>Enforceability</t>
        </is>
      </c>
      <c r="I3" s="16" t="inlineStr">
        <is>
          <t>Area score</t>
        </is>
      </c>
    </row>
    <row r="4">
      <c r="A4" t="inlineStr">
        <is>
          <t>R1</t>
        </is>
      </c>
      <c r="B4" t="inlineStr">
        <is>
          <t>P1a</t>
        </is>
      </c>
      <c r="C4" t="inlineStr">
        <is>
          <t>Requirement 7</t>
        </is>
      </c>
      <c r="E4" s="17" t="n">
        <v>96</v>
      </c>
      <c r="F4" s="17" t="n">
        <v>90</v>
      </c>
      <c r="G4" s="17" t="n">
        <v>90</v>
      </c>
      <c r="H4" s="17" t="n">
        <v>65</v>
      </c>
      <c r="I4">
        <f>IF(COUNT(E4:H4)=4,ROUND(E4*0.35+F4*0.25+G4*0.2+H4*0.2,0),"")</f>
        <v/>
      </c>
    </row>
    <row r="5">
      <c r="A5" t="inlineStr">
        <is>
          <t>R1</t>
        </is>
      </c>
      <c r="B5" t="inlineStr">
        <is>
          <t>P1a</t>
        </is>
      </c>
      <c r="C5" t="inlineStr">
        <is>
          <t>Requirement 8</t>
        </is>
      </c>
      <c r="D5" t="n">
        <v>71</v>
      </c>
      <c r="E5" s="17" t="n">
        <v>99</v>
      </c>
      <c r="F5" s="17" t="n">
        <v>90</v>
      </c>
      <c r="G5" s="17" t="n">
        <v>90</v>
      </c>
      <c r="H5" s="17" t="n">
        <v>65</v>
      </c>
      <c r="I5">
        <f>IF(COUNT(E5:H5)=4,ROUND(E5*0.35+F5*0.25+G5*0.2+H5*0.2,0),"")</f>
        <v/>
      </c>
    </row>
    <row r="6">
      <c r="A6" t="inlineStr">
        <is>
          <t>R1</t>
        </is>
      </c>
      <c r="B6" t="inlineStr">
        <is>
          <t>P1a</t>
        </is>
      </c>
      <c r="C6" t="inlineStr">
        <is>
          <t>Requirement 10</t>
        </is>
      </c>
      <c r="E6" s="17" t="n">
        <v>96</v>
      </c>
      <c r="F6" s="17" t="n">
        <v>90</v>
      </c>
      <c r="G6" s="17" t="n">
        <v>85</v>
      </c>
      <c r="H6" s="17" t="n">
        <v>65</v>
      </c>
      <c r="I6">
        <f>IF(COUNT(E6:H6)=4,ROUND(E6*0.35+F6*0.25+G6*0.2+H6*0.2,0),"")</f>
        <v/>
      </c>
    </row>
    <row r="7">
      <c r="A7" t="inlineStr">
        <is>
          <t>R1</t>
        </is>
      </c>
      <c r="B7" t="inlineStr">
        <is>
          <t>P1a</t>
        </is>
      </c>
      <c r="C7" t="inlineStr">
        <is>
          <t>Requirement 12</t>
        </is>
      </c>
      <c r="E7" s="17" t="n">
        <v>99</v>
      </c>
      <c r="F7" s="17" t="n">
        <v>90</v>
      </c>
      <c r="G7" s="17" t="n">
        <v>90</v>
      </c>
      <c r="H7" s="17" t="n">
        <v>70</v>
      </c>
      <c r="I7">
        <f>IF(COUNT(E7:H7)=4,ROUND(E7*0.35+F7*0.25+G7*0.2+H7*0.2,0),"")</f>
        <v/>
      </c>
    </row>
    <row r="8">
      <c r="A8" t="inlineStr">
        <is>
          <t>R1</t>
        </is>
      </c>
      <c r="B8" t="inlineStr">
        <is>
          <t>P1b</t>
        </is>
      </c>
      <c r="C8" t="inlineStr">
        <is>
          <t>Requirement 7</t>
        </is>
      </c>
      <c r="E8" s="17" t="n">
        <v>96</v>
      </c>
      <c r="F8" s="17" t="n">
        <v>90</v>
      </c>
      <c r="G8" s="17" t="n">
        <v>95</v>
      </c>
      <c r="H8" s="17" t="n">
        <v>75</v>
      </c>
      <c r="I8">
        <f>IF(COUNT(E8:H8)=4,ROUND(E8*0.35+F8*0.25+G8*0.2+H8*0.2,0),"")</f>
        <v/>
      </c>
    </row>
    <row r="9">
      <c r="A9" t="inlineStr">
        <is>
          <t>R1</t>
        </is>
      </c>
      <c r="B9" t="inlineStr">
        <is>
          <t>P1b</t>
        </is>
      </c>
      <c r="C9" t="inlineStr">
        <is>
          <t>Requirement 8</t>
        </is>
      </c>
      <c r="D9" t="n">
        <v>68</v>
      </c>
      <c r="E9" s="17" t="n">
        <v>94</v>
      </c>
      <c r="F9" s="17" t="n">
        <v>90</v>
      </c>
      <c r="G9" s="17" t="n">
        <v>95</v>
      </c>
      <c r="H9" s="17" t="n">
        <v>70</v>
      </c>
      <c r="I9">
        <f>IF(COUNT(E9:H9)=4,ROUND(E9*0.35+F9*0.25+G9*0.2+H9*0.2,0),"")</f>
        <v/>
      </c>
    </row>
    <row r="10">
      <c r="A10" t="inlineStr">
        <is>
          <t>R1</t>
        </is>
      </c>
      <c r="B10" t="inlineStr">
        <is>
          <t>P1b</t>
        </is>
      </c>
      <c r="C10" t="inlineStr">
        <is>
          <t>Requirement 10</t>
        </is>
      </c>
      <c r="E10" s="17" t="n">
        <v>100</v>
      </c>
      <c r="F10" s="17" t="n">
        <v>90</v>
      </c>
      <c r="G10" s="17" t="n">
        <v>95</v>
      </c>
      <c r="H10" s="17" t="n">
        <v>80</v>
      </c>
      <c r="I10">
        <f>IF(COUNT(E10:H10)=4,ROUND(E10*0.35+F10*0.25+G10*0.2+H10*0.2,0),"")</f>
        <v/>
      </c>
    </row>
    <row r="11">
      <c r="A11" t="inlineStr">
        <is>
          <t>R1</t>
        </is>
      </c>
      <c r="B11" t="inlineStr">
        <is>
          <t>P1b</t>
        </is>
      </c>
      <c r="C11" t="inlineStr">
        <is>
          <t>Requirement 12</t>
        </is>
      </c>
      <c r="E11" s="17" t="n">
        <v>97</v>
      </c>
      <c r="F11" s="17" t="n">
        <v>90</v>
      </c>
      <c r="G11" s="17" t="n">
        <v>95</v>
      </c>
      <c r="H11" s="17" t="n">
        <v>80</v>
      </c>
      <c r="I11">
        <f>IF(COUNT(E11:H11)=4,ROUND(E11*0.35+F11*0.25+G11*0.2+H11*0.2,0),"")</f>
        <v/>
      </c>
    </row>
    <row r="12">
      <c r="A12" t="inlineStr">
        <is>
          <t>R1</t>
        </is>
      </c>
      <c r="B12" t="inlineStr">
        <is>
          <t>P2a</t>
        </is>
      </c>
      <c r="C12" t="inlineStr">
        <is>
          <t>Requirement 7</t>
        </is>
      </c>
      <c r="E12" s="17" t="n">
        <v>93</v>
      </c>
      <c r="F12" s="17" t="n">
        <v>90</v>
      </c>
      <c r="G12" s="17" t="n">
        <v>60</v>
      </c>
      <c r="H12" s="17" t="n">
        <v>50</v>
      </c>
      <c r="I12">
        <f>IF(COUNT(E12:H12)=4,ROUND(E12*0.35+F12*0.25+G12*0.2+H12*0.2,0),"")</f>
        <v/>
      </c>
    </row>
    <row r="13">
      <c r="A13" t="inlineStr">
        <is>
          <t>R1</t>
        </is>
      </c>
      <c r="B13" t="inlineStr">
        <is>
          <t>P2a</t>
        </is>
      </c>
      <c r="C13" t="inlineStr">
        <is>
          <t>Requirement 8</t>
        </is>
      </c>
      <c r="D13" t="n">
        <v>70</v>
      </c>
      <c r="E13" s="17" t="n">
        <v>97</v>
      </c>
      <c r="F13" s="17" t="n">
        <v>90</v>
      </c>
      <c r="G13" s="17" t="n">
        <v>65</v>
      </c>
      <c r="H13" s="17" t="n">
        <v>55</v>
      </c>
      <c r="I13">
        <f>IF(COUNT(E13:H13)=4,ROUND(E13*0.35+F13*0.25+G13*0.2+H13*0.2,0),"")</f>
        <v/>
      </c>
    </row>
    <row r="14">
      <c r="A14" t="inlineStr">
        <is>
          <t>R1</t>
        </is>
      </c>
      <c r="B14" t="inlineStr">
        <is>
          <t>P2a</t>
        </is>
      </c>
      <c r="C14" t="inlineStr">
        <is>
          <t>Requirement 10</t>
        </is>
      </c>
      <c r="E14" s="17" t="n">
        <v>93</v>
      </c>
      <c r="F14" s="17" t="n">
        <v>90</v>
      </c>
      <c r="G14" s="17" t="n">
        <v>60</v>
      </c>
      <c r="H14" s="17" t="n">
        <v>55</v>
      </c>
      <c r="I14">
        <f>IF(COUNT(E14:H14)=4,ROUND(E14*0.35+F14*0.25+G14*0.2+H14*0.2,0),"")</f>
        <v/>
      </c>
    </row>
    <row r="15">
      <c r="A15" t="inlineStr">
        <is>
          <t>R1</t>
        </is>
      </c>
      <c r="B15" t="inlineStr">
        <is>
          <t>P2a</t>
        </is>
      </c>
      <c r="C15" t="inlineStr">
        <is>
          <t>Requirement 12</t>
        </is>
      </c>
      <c r="E15" s="17" t="n">
        <v>96</v>
      </c>
      <c r="F15" s="17" t="n">
        <v>90</v>
      </c>
      <c r="G15" s="17" t="n">
        <v>60</v>
      </c>
      <c r="H15" s="17" t="n">
        <v>50</v>
      </c>
      <c r="I15">
        <f>IF(COUNT(E15:H15)=4,ROUND(E15*0.35+F15*0.25+G15*0.2+H15*0.2,0),"")</f>
        <v/>
      </c>
    </row>
    <row r="16">
      <c r="A16" t="inlineStr">
        <is>
          <t>R1</t>
        </is>
      </c>
      <c r="B16" t="inlineStr">
        <is>
          <t>P2b</t>
        </is>
      </c>
      <c r="C16" t="inlineStr">
        <is>
          <t>Requirement 7</t>
        </is>
      </c>
      <c r="E16" s="17" t="n">
        <v>89</v>
      </c>
      <c r="F16" s="17" t="n">
        <v>90</v>
      </c>
      <c r="G16" s="17" t="n">
        <v>95</v>
      </c>
      <c r="H16" s="17" t="n">
        <v>75</v>
      </c>
      <c r="I16">
        <f>IF(COUNT(E16:H16)=4,ROUND(E16*0.35+F16*0.25+G16*0.2+H16*0.2,0),"")</f>
        <v/>
      </c>
    </row>
    <row r="17">
      <c r="A17" t="inlineStr">
        <is>
          <t>R1</t>
        </is>
      </c>
      <c r="B17" t="inlineStr">
        <is>
          <t>P2b</t>
        </is>
      </c>
      <c r="C17" t="inlineStr">
        <is>
          <t>Requirement 8</t>
        </is>
      </c>
      <c r="D17" t="n">
        <v>63</v>
      </c>
      <c r="E17" s="17" t="n">
        <v>88</v>
      </c>
      <c r="F17" s="17" t="n">
        <v>90</v>
      </c>
      <c r="G17" s="17" t="n">
        <v>95</v>
      </c>
      <c r="H17" s="17" t="n">
        <v>65</v>
      </c>
      <c r="I17">
        <f>IF(COUNT(E17:H17)=4,ROUND(E17*0.35+F17*0.25+G17*0.2+H17*0.2,0),"")</f>
        <v/>
      </c>
    </row>
    <row r="18">
      <c r="A18" t="inlineStr">
        <is>
          <t>R1</t>
        </is>
      </c>
      <c r="B18" t="inlineStr">
        <is>
          <t>P2b</t>
        </is>
      </c>
      <c r="C18" t="inlineStr">
        <is>
          <t>Requirement 10</t>
        </is>
      </c>
      <c r="E18" s="17" t="n">
        <v>93</v>
      </c>
      <c r="F18" s="17" t="n">
        <v>90</v>
      </c>
      <c r="G18" s="17" t="n">
        <v>90</v>
      </c>
      <c r="H18" s="17" t="n">
        <v>70</v>
      </c>
      <c r="I18">
        <f>IF(COUNT(E18:H18)=4,ROUND(E18*0.35+F18*0.25+G18*0.2+H18*0.2,0),"")</f>
        <v/>
      </c>
    </row>
    <row r="19">
      <c r="A19" t="inlineStr">
        <is>
          <t>R1</t>
        </is>
      </c>
      <c r="B19" t="inlineStr">
        <is>
          <t>P2b</t>
        </is>
      </c>
      <c r="C19" t="inlineStr">
        <is>
          <t>Requirement 12</t>
        </is>
      </c>
      <c r="E19" s="17" t="n">
        <v>80</v>
      </c>
      <c r="F19" s="17" t="n">
        <v>90</v>
      </c>
      <c r="G19" s="17" t="n">
        <v>85</v>
      </c>
      <c r="H19" s="17" t="n">
        <v>75</v>
      </c>
      <c r="I19">
        <f>IF(COUNT(E19:H19)=4,ROUND(E19*0.35+F19*0.25+G19*0.2+H19*0.2,0),"")</f>
        <v/>
      </c>
    </row>
    <row r="20">
      <c r="A20" t="inlineStr">
        <is>
          <t>R2</t>
        </is>
      </c>
      <c r="B20" t="inlineStr">
        <is>
          <t>P1a</t>
        </is>
      </c>
      <c r="C20" t="inlineStr">
        <is>
          <t>Requirement 7</t>
        </is>
      </c>
      <c r="E20" s="17" t="n">
        <v>96</v>
      </c>
      <c r="F20" s="17" t="n">
        <v>90</v>
      </c>
      <c r="G20" s="17" t="n">
        <v>90</v>
      </c>
      <c r="H20" s="17" t="n">
        <v>70</v>
      </c>
      <c r="I20">
        <f>IF(COUNT(E20:H20)=4,ROUND(E20*0.35+F20*0.25+G20*0.2+H20*0.2,0),"")</f>
        <v/>
      </c>
    </row>
    <row r="21">
      <c r="A21" t="inlineStr">
        <is>
          <t>R2</t>
        </is>
      </c>
      <c r="B21" t="inlineStr">
        <is>
          <t>P1a</t>
        </is>
      </c>
      <c r="C21" t="inlineStr">
        <is>
          <t>Requirement 8</t>
        </is>
      </c>
      <c r="D21" t="n">
        <v>71</v>
      </c>
      <c r="E21" s="17" t="n">
        <v>99</v>
      </c>
      <c r="F21" s="17" t="n">
        <v>90</v>
      </c>
      <c r="G21" s="17" t="n">
        <v>90</v>
      </c>
      <c r="H21" s="17" t="n">
        <v>75</v>
      </c>
      <c r="I21">
        <f>IF(COUNT(E21:H21)=4,ROUND(E21*0.35+F21*0.25+G21*0.2+H21*0.2,0),"")</f>
        <v/>
      </c>
    </row>
    <row r="22">
      <c r="A22" t="inlineStr">
        <is>
          <t>R2</t>
        </is>
      </c>
      <c r="B22" t="inlineStr">
        <is>
          <t>P1a</t>
        </is>
      </c>
      <c r="C22" t="inlineStr">
        <is>
          <t>Requirement 10</t>
        </is>
      </c>
      <c r="E22" s="17" t="n">
        <v>96</v>
      </c>
      <c r="F22" s="17" t="n">
        <v>90</v>
      </c>
      <c r="G22" s="17" t="n">
        <v>85</v>
      </c>
      <c r="H22" s="17" t="n">
        <v>70</v>
      </c>
      <c r="I22">
        <f>IF(COUNT(E22:H22)=4,ROUND(E22*0.35+F22*0.25+G22*0.2+H22*0.2,0),"")</f>
        <v/>
      </c>
    </row>
    <row r="23">
      <c r="A23" t="inlineStr">
        <is>
          <t>R2</t>
        </is>
      </c>
      <c r="B23" t="inlineStr">
        <is>
          <t>P1a</t>
        </is>
      </c>
      <c r="C23" t="inlineStr">
        <is>
          <t>Requirement 12</t>
        </is>
      </c>
      <c r="E23" s="17" t="n">
        <v>99</v>
      </c>
      <c r="F23" s="17" t="n">
        <v>90</v>
      </c>
      <c r="G23" s="17" t="n">
        <v>85</v>
      </c>
      <c r="H23" s="17" t="n">
        <v>70</v>
      </c>
      <c r="I23">
        <f>IF(COUNT(E23:H23)=4,ROUND(E23*0.35+F23*0.25+G23*0.2+H23*0.2,0),"")</f>
        <v/>
      </c>
    </row>
    <row r="24">
      <c r="A24" t="inlineStr">
        <is>
          <t>R2</t>
        </is>
      </c>
      <c r="B24" t="inlineStr">
        <is>
          <t>P1b</t>
        </is>
      </c>
      <c r="C24" t="inlineStr">
        <is>
          <t>Requirement 7</t>
        </is>
      </c>
      <c r="E24" s="17" t="n">
        <v>96</v>
      </c>
      <c r="F24" s="17" t="n">
        <v>90</v>
      </c>
      <c r="G24" s="17" t="n">
        <v>90</v>
      </c>
      <c r="H24" s="17" t="n">
        <v>80</v>
      </c>
      <c r="I24">
        <f>IF(COUNT(E24:H24)=4,ROUND(E24*0.35+F24*0.25+G24*0.2+H24*0.2,0),"")</f>
        <v/>
      </c>
    </row>
    <row r="25">
      <c r="A25" t="inlineStr">
        <is>
          <t>R2</t>
        </is>
      </c>
      <c r="B25" t="inlineStr">
        <is>
          <t>P1b</t>
        </is>
      </c>
      <c r="C25" t="inlineStr">
        <is>
          <t>Requirement 8</t>
        </is>
      </c>
      <c r="D25" t="n">
        <v>68</v>
      </c>
      <c r="E25" s="17" t="n">
        <v>94</v>
      </c>
      <c r="F25" s="17" t="n">
        <v>90</v>
      </c>
      <c r="G25" s="17" t="n">
        <v>95</v>
      </c>
      <c r="H25" s="17" t="n">
        <v>80</v>
      </c>
      <c r="I25">
        <f>IF(COUNT(E25:H25)=4,ROUND(E25*0.35+F25*0.25+G25*0.2+H25*0.2,0),"")</f>
        <v/>
      </c>
    </row>
    <row r="26">
      <c r="A26" t="inlineStr">
        <is>
          <t>R2</t>
        </is>
      </c>
      <c r="B26" t="inlineStr">
        <is>
          <t>P1b</t>
        </is>
      </c>
      <c r="C26" t="inlineStr">
        <is>
          <t>Requirement 10</t>
        </is>
      </c>
      <c r="E26" s="17" t="n">
        <v>100</v>
      </c>
      <c r="F26" s="17" t="n">
        <v>90</v>
      </c>
      <c r="G26" s="17" t="n">
        <v>95</v>
      </c>
      <c r="H26" s="17" t="n">
        <v>80</v>
      </c>
      <c r="I26">
        <f>IF(COUNT(E26:H26)=4,ROUND(E26*0.35+F26*0.25+G26*0.2+H26*0.2,0),"")</f>
        <v/>
      </c>
    </row>
    <row r="27">
      <c r="A27" t="inlineStr">
        <is>
          <t>R2</t>
        </is>
      </c>
      <c r="B27" t="inlineStr">
        <is>
          <t>P1b</t>
        </is>
      </c>
      <c r="C27" t="inlineStr">
        <is>
          <t>Requirement 12</t>
        </is>
      </c>
      <c r="E27" s="17" t="n">
        <v>99</v>
      </c>
      <c r="F27" s="17" t="n">
        <v>90</v>
      </c>
      <c r="G27" s="17" t="n">
        <v>95</v>
      </c>
      <c r="H27" s="17" t="n">
        <v>80</v>
      </c>
      <c r="I27">
        <f>IF(COUNT(E27:H27)=4,ROUND(E27*0.35+F27*0.25+G27*0.2+H27*0.2,0),"")</f>
        <v/>
      </c>
    </row>
    <row r="28">
      <c r="A28" t="inlineStr">
        <is>
          <t>R2</t>
        </is>
      </c>
      <c r="B28" t="inlineStr">
        <is>
          <t>P2a</t>
        </is>
      </c>
      <c r="C28" t="inlineStr">
        <is>
          <t>Requirement 7</t>
        </is>
      </c>
      <c r="E28" s="17" t="n">
        <v>96</v>
      </c>
      <c r="F28" s="17" t="n">
        <v>90</v>
      </c>
      <c r="G28" s="17" t="n">
        <v>70</v>
      </c>
      <c r="H28" s="17" t="n">
        <v>55</v>
      </c>
      <c r="I28">
        <f>IF(COUNT(E28:H28)=4,ROUND(E28*0.35+F28*0.25+G28*0.2+H28*0.2,0),"")</f>
        <v/>
      </c>
    </row>
    <row r="29">
      <c r="A29" t="inlineStr">
        <is>
          <t>R2</t>
        </is>
      </c>
      <c r="B29" t="inlineStr">
        <is>
          <t>P2a</t>
        </is>
      </c>
      <c r="C29" t="inlineStr">
        <is>
          <t>Requirement 8</t>
        </is>
      </c>
      <c r="D29" t="n">
        <v>71</v>
      </c>
      <c r="E29" s="17" t="n">
        <v>99</v>
      </c>
      <c r="F29" s="17" t="n">
        <v>90</v>
      </c>
      <c r="G29" s="17" t="n">
        <v>70</v>
      </c>
      <c r="H29" s="17" t="n">
        <v>55</v>
      </c>
      <c r="I29">
        <f>IF(COUNT(E29:H29)=4,ROUND(E29*0.35+F29*0.25+G29*0.2+H29*0.2,0),"")</f>
        <v/>
      </c>
    </row>
    <row r="30">
      <c r="A30" t="inlineStr">
        <is>
          <t>R2</t>
        </is>
      </c>
      <c r="B30" t="inlineStr">
        <is>
          <t>P2a</t>
        </is>
      </c>
      <c r="C30" t="inlineStr">
        <is>
          <t>Requirement 10</t>
        </is>
      </c>
      <c r="E30" s="17" t="n">
        <v>96</v>
      </c>
      <c r="F30" s="17" t="n">
        <v>90</v>
      </c>
      <c r="G30" s="17" t="n">
        <v>65</v>
      </c>
      <c r="H30" s="17" t="n">
        <v>55</v>
      </c>
      <c r="I30">
        <f>IF(COUNT(E30:H30)=4,ROUND(E30*0.35+F30*0.25+G30*0.2+H30*0.2,0),"")</f>
        <v/>
      </c>
    </row>
    <row r="31">
      <c r="A31" t="inlineStr">
        <is>
          <t>R2</t>
        </is>
      </c>
      <c r="B31" t="inlineStr">
        <is>
          <t>P2a</t>
        </is>
      </c>
      <c r="C31" t="inlineStr">
        <is>
          <t>Requirement 12</t>
        </is>
      </c>
      <c r="E31" s="17" t="n">
        <v>98</v>
      </c>
      <c r="F31" s="17" t="n">
        <v>90</v>
      </c>
      <c r="G31" s="17" t="n">
        <v>65</v>
      </c>
      <c r="H31" s="17" t="n">
        <v>50</v>
      </c>
      <c r="I31">
        <f>IF(COUNT(E31:H31)=4,ROUND(E31*0.35+F31*0.25+G31*0.2+H31*0.2,0),"")</f>
        <v/>
      </c>
    </row>
    <row r="32">
      <c r="A32" t="inlineStr">
        <is>
          <t>R2</t>
        </is>
      </c>
      <c r="B32" t="inlineStr">
        <is>
          <t>P2b</t>
        </is>
      </c>
      <c r="C32" t="inlineStr">
        <is>
          <t>Requirement 7</t>
        </is>
      </c>
      <c r="E32" s="17" t="n">
        <v>89</v>
      </c>
      <c r="F32" s="17" t="n">
        <v>90</v>
      </c>
      <c r="G32" s="17" t="n">
        <v>70</v>
      </c>
      <c r="H32" s="17" t="n">
        <v>75</v>
      </c>
      <c r="I32">
        <f>IF(COUNT(E32:H32)=4,ROUND(E32*0.35+F32*0.25+G32*0.2+H32*0.2,0),"")</f>
        <v/>
      </c>
    </row>
    <row r="33">
      <c r="A33" t="inlineStr">
        <is>
          <t>R2</t>
        </is>
      </c>
      <c r="B33" t="inlineStr">
        <is>
          <t>P2b</t>
        </is>
      </c>
      <c r="C33" t="inlineStr">
        <is>
          <t>Requirement 8</t>
        </is>
      </c>
      <c r="D33" t="n">
        <v>64</v>
      </c>
      <c r="E33" s="17" t="n">
        <v>89</v>
      </c>
      <c r="F33" s="17" t="n">
        <v>90</v>
      </c>
      <c r="G33" s="17" t="n">
        <v>75</v>
      </c>
      <c r="H33" s="17" t="n">
        <v>70</v>
      </c>
      <c r="I33">
        <f>IF(COUNT(E33:H33)=4,ROUND(E33*0.35+F33*0.25+G33*0.2+H33*0.2,0),"")</f>
        <v/>
      </c>
    </row>
    <row r="34">
      <c r="A34" t="inlineStr">
        <is>
          <t>R2</t>
        </is>
      </c>
      <c r="B34" t="inlineStr">
        <is>
          <t>P2b</t>
        </is>
      </c>
      <c r="C34" t="inlineStr">
        <is>
          <t>Requirement 10</t>
        </is>
      </c>
      <c r="E34" s="17" t="n">
        <v>93</v>
      </c>
      <c r="F34" s="17" t="n">
        <v>90</v>
      </c>
      <c r="G34" s="17" t="n">
        <v>75</v>
      </c>
      <c r="H34" s="17" t="n">
        <v>70</v>
      </c>
      <c r="I34">
        <f>IF(COUNT(E34:H34)=4,ROUND(E34*0.35+F34*0.25+G34*0.2+H34*0.2,0),"")</f>
        <v/>
      </c>
    </row>
    <row r="35">
      <c r="A35" t="inlineStr">
        <is>
          <t>R2</t>
        </is>
      </c>
      <c r="B35" t="inlineStr">
        <is>
          <t>P2b</t>
        </is>
      </c>
      <c r="C35" t="inlineStr">
        <is>
          <t>Requirement 12</t>
        </is>
      </c>
      <c r="E35" s="17" t="n">
        <v>80</v>
      </c>
      <c r="F35" s="17" t="n">
        <v>90</v>
      </c>
      <c r="G35" s="17" t="n">
        <v>70</v>
      </c>
      <c r="H35" s="17" t="n">
        <v>75</v>
      </c>
      <c r="I35">
        <f>IF(COUNT(E35:H35)=4,ROUND(E35*0.35+F35*0.25+G35*0.2+H35*0.2,0),"")</f>
        <v/>
      </c>
    </row>
    <row r="36">
      <c r="A36" t="inlineStr">
        <is>
          <t>R3</t>
        </is>
      </c>
      <c r="B36" t="inlineStr">
        <is>
          <t>P1a</t>
        </is>
      </c>
      <c r="C36" t="inlineStr">
        <is>
          <t>Requirement 7</t>
        </is>
      </c>
      <c r="E36" s="17" t="n">
        <v>100</v>
      </c>
      <c r="F36" s="17" t="n">
        <v>90</v>
      </c>
      <c r="G36" s="17" t="n">
        <v>90</v>
      </c>
      <c r="H36" s="17" t="n">
        <v>65</v>
      </c>
      <c r="I36">
        <f>IF(COUNT(E36:H36)=4,ROUND(E36*0.35+F36*0.25+G36*0.2+H36*0.2,0),"")</f>
        <v/>
      </c>
    </row>
    <row r="37">
      <c r="A37" t="inlineStr">
        <is>
          <t>R3</t>
        </is>
      </c>
      <c r="B37" t="inlineStr">
        <is>
          <t>P1a</t>
        </is>
      </c>
      <c r="C37" t="inlineStr">
        <is>
          <t>Requirement 8</t>
        </is>
      </c>
      <c r="D37" t="n">
        <v>70</v>
      </c>
      <c r="E37" s="17" t="n">
        <v>97</v>
      </c>
      <c r="F37" s="17" t="n">
        <v>90</v>
      </c>
      <c r="G37" s="17" t="n">
        <v>80</v>
      </c>
      <c r="H37" s="17" t="n">
        <v>75</v>
      </c>
      <c r="I37">
        <f>IF(COUNT(E37:H37)=4,ROUND(E37*0.35+F37*0.25+G37*0.2+H37*0.2,0),"")</f>
        <v/>
      </c>
    </row>
    <row r="38">
      <c r="A38" t="inlineStr">
        <is>
          <t>R3</t>
        </is>
      </c>
      <c r="B38" t="inlineStr">
        <is>
          <t>P1a</t>
        </is>
      </c>
      <c r="C38" t="inlineStr">
        <is>
          <t>Requirement 10</t>
        </is>
      </c>
      <c r="E38" s="17" t="n">
        <v>100</v>
      </c>
      <c r="F38" s="17" t="n">
        <v>90</v>
      </c>
      <c r="G38" s="17" t="n">
        <v>70</v>
      </c>
      <c r="H38" s="17" t="n">
        <v>65</v>
      </c>
      <c r="I38">
        <f>IF(COUNT(E38:H38)=4,ROUND(E38*0.35+F38*0.25+G38*0.2+H38*0.2,0),"")</f>
        <v/>
      </c>
    </row>
    <row r="39">
      <c r="A39" t="inlineStr">
        <is>
          <t>R3</t>
        </is>
      </c>
      <c r="B39" t="inlineStr">
        <is>
          <t>P1a</t>
        </is>
      </c>
      <c r="C39" t="inlineStr">
        <is>
          <t>Requirement 12</t>
        </is>
      </c>
      <c r="E39" s="17" t="n">
        <v>100</v>
      </c>
      <c r="F39" s="17" t="n">
        <v>90</v>
      </c>
      <c r="G39" s="17" t="n">
        <v>85</v>
      </c>
      <c r="H39" s="17" t="n">
        <v>65</v>
      </c>
      <c r="I39">
        <f>IF(COUNT(E39:H39)=4,ROUND(E39*0.35+F39*0.25+G39*0.2+H39*0.2,0),"")</f>
        <v/>
      </c>
    </row>
    <row r="40">
      <c r="A40" t="inlineStr">
        <is>
          <t>R3</t>
        </is>
      </c>
      <c r="B40" t="inlineStr">
        <is>
          <t>P1b</t>
        </is>
      </c>
      <c r="C40" t="inlineStr">
        <is>
          <t>Requirement 7</t>
        </is>
      </c>
      <c r="E40" s="17" t="n">
        <v>96</v>
      </c>
      <c r="F40" s="17" t="n">
        <v>90</v>
      </c>
      <c r="G40" s="17" t="n">
        <v>95</v>
      </c>
      <c r="H40" s="17" t="n">
        <v>75</v>
      </c>
      <c r="I40">
        <f>IF(COUNT(E40:H40)=4,ROUND(E40*0.35+F40*0.25+G40*0.2+H40*0.2,0),"")</f>
        <v/>
      </c>
    </row>
    <row r="41">
      <c r="A41" t="inlineStr">
        <is>
          <t>R3</t>
        </is>
      </c>
      <c r="B41" t="inlineStr">
        <is>
          <t>P1b</t>
        </is>
      </c>
      <c r="C41" t="inlineStr">
        <is>
          <t>Requirement 8</t>
        </is>
      </c>
      <c r="D41" t="n">
        <v>68</v>
      </c>
      <c r="E41" s="17" t="n">
        <v>94</v>
      </c>
      <c r="F41" s="17" t="n">
        <v>90</v>
      </c>
      <c r="G41" s="17" t="n">
        <v>95</v>
      </c>
      <c r="H41" s="17" t="n">
        <v>75</v>
      </c>
      <c r="I41">
        <f>IF(COUNT(E41:H41)=4,ROUND(E41*0.35+F41*0.25+G41*0.2+H41*0.2,0),"")</f>
        <v/>
      </c>
    </row>
    <row r="42">
      <c r="A42" t="inlineStr">
        <is>
          <t>R3</t>
        </is>
      </c>
      <c r="B42" t="inlineStr">
        <is>
          <t>P1b</t>
        </is>
      </c>
      <c r="C42" t="inlineStr">
        <is>
          <t>Requirement 10</t>
        </is>
      </c>
      <c r="E42" s="17" t="n">
        <v>100</v>
      </c>
      <c r="F42" s="17" t="n">
        <v>90</v>
      </c>
      <c r="G42" s="17" t="n">
        <v>95</v>
      </c>
      <c r="H42" s="17" t="n">
        <v>80</v>
      </c>
      <c r="I42">
        <f>IF(COUNT(E42:H42)=4,ROUND(E42*0.35+F42*0.25+G42*0.2+H42*0.2,0),"")</f>
        <v/>
      </c>
    </row>
    <row r="43">
      <c r="A43" t="inlineStr">
        <is>
          <t>R3</t>
        </is>
      </c>
      <c r="B43" t="inlineStr">
        <is>
          <t>P1b</t>
        </is>
      </c>
      <c r="C43" t="inlineStr">
        <is>
          <t>Requirement 12</t>
        </is>
      </c>
      <c r="E43" s="17" t="n">
        <v>97</v>
      </c>
      <c r="F43" s="17" t="n">
        <v>90</v>
      </c>
      <c r="G43" s="17" t="n">
        <v>95</v>
      </c>
      <c r="H43" s="17" t="n">
        <v>80</v>
      </c>
      <c r="I43">
        <f>IF(COUNT(E43:H43)=4,ROUND(E43*0.35+F43*0.25+G43*0.2+H43*0.2,0),"")</f>
        <v/>
      </c>
    </row>
    <row r="44">
      <c r="A44" t="inlineStr">
        <is>
          <t>R3</t>
        </is>
      </c>
      <c r="B44" t="inlineStr">
        <is>
          <t>P2a</t>
        </is>
      </c>
      <c r="C44" t="inlineStr">
        <is>
          <t>Requirement 7</t>
        </is>
      </c>
      <c r="E44" s="17" t="n">
        <v>96</v>
      </c>
      <c r="F44" s="17" t="n">
        <v>90</v>
      </c>
      <c r="G44" s="17" t="n">
        <v>50</v>
      </c>
      <c r="H44" s="17" t="n">
        <v>45</v>
      </c>
      <c r="I44">
        <f>IF(COUNT(E44:H44)=4,ROUND(E44*0.35+F44*0.25+G44*0.2+H44*0.2,0),"")</f>
        <v/>
      </c>
    </row>
    <row r="45">
      <c r="A45" t="inlineStr">
        <is>
          <t>R3</t>
        </is>
      </c>
      <c r="B45" t="inlineStr">
        <is>
          <t>P2a</t>
        </is>
      </c>
      <c r="C45" t="inlineStr">
        <is>
          <t>Requirement 8</t>
        </is>
      </c>
      <c r="D45" t="n">
        <v>71</v>
      </c>
      <c r="E45" s="17" t="n">
        <v>99</v>
      </c>
      <c r="F45" s="17" t="n">
        <v>90</v>
      </c>
      <c r="G45" s="17" t="n">
        <v>55</v>
      </c>
      <c r="H45" s="17" t="n">
        <v>50</v>
      </c>
      <c r="I45">
        <f>IF(COUNT(E45:H45)=4,ROUND(E45*0.35+F45*0.25+G45*0.2+H45*0.2,0),"")</f>
        <v/>
      </c>
    </row>
    <row r="46">
      <c r="A46" t="inlineStr">
        <is>
          <t>R3</t>
        </is>
      </c>
      <c r="B46" t="inlineStr">
        <is>
          <t>P2a</t>
        </is>
      </c>
      <c r="C46" t="inlineStr">
        <is>
          <t>Requirement 10</t>
        </is>
      </c>
      <c r="E46" s="17" t="n">
        <v>96</v>
      </c>
      <c r="F46" s="17" t="n">
        <v>90</v>
      </c>
      <c r="G46" s="17" t="n">
        <v>50</v>
      </c>
      <c r="H46" s="17" t="n">
        <v>50</v>
      </c>
      <c r="I46">
        <f>IF(COUNT(E46:H46)=4,ROUND(E46*0.35+F46*0.25+G46*0.2+H46*0.2,0),"")</f>
        <v/>
      </c>
    </row>
    <row r="47">
      <c r="A47" t="inlineStr">
        <is>
          <t>R3</t>
        </is>
      </c>
      <c r="B47" t="inlineStr">
        <is>
          <t>P2a</t>
        </is>
      </c>
      <c r="C47" t="inlineStr">
        <is>
          <t>Requirement 12</t>
        </is>
      </c>
      <c r="E47" s="17" t="n">
        <v>99</v>
      </c>
      <c r="F47" s="17" t="n">
        <v>90</v>
      </c>
      <c r="G47" s="17" t="n">
        <v>50</v>
      </c>
      <c r="H47" s="17" t="n">
        <v>50</v>
      </c>
      <c r="I47">
        <f>IF(COUNT(E47:H47)=4,ROUND(E47*0.35+F47*0.25+G47*0.2+H47*0.2,0),"")</f>
        <v/>
      </c>
    </row>
    <row r="48">
      <c r="A48" t="inlineStr">
        <is>
          <t>R3</t>
        </is>
      </c>
      <c r="B48" t="inlineStr">
        <is>
          <t>P2b</t>
        </is>
      </c>
      <c r="C48" t="inlineStr">
        <is>
          <t>Requirement 7</t>
        </is>
      </c>
      <c r="E48" s="17" t="n">
        <v>89</v>
      </c>
      <c r="F48" s="17" t="n">
        <v>90</v>
      </c>
      <c r="G48" s="17" t="n">
        <v>70</v>
      </c>
      <c r="H48" s="17" t="n">
        <v>75</v>
      </c>
      <c r="I48">
        <f>IF(COUNT(E48:H48)=4,ROUND(E48*0.35+F48*0.25+G48*0.2+H48*0.2,0),"")</f>
        <v/>
      </c>
    </row>
    <row r="49">
      <c r="A49" t="inlineStr">
        <is>
          <t>R3</t>
        </is>
      </c>
      <c r="B49" t="inlineStr">
        <is>
          <t>P2b</t>
        </is>
      </c>
      <c r="C49" t="inlineStr">
        <is>
          <t>Requirement 8</t>
        </is>
      </c>
      <c r="D49" t="n">
        <v>63</v>
      </c>
      <c r="E49" s="17" t="n">
        <v>88</v>
      </c>
      <c r="F49" s="17" t="n">
        <v>90</v>
      </c>
      <c r="G49" s="17" t="n">
        <v>75</v>
      </c>
      <c r="H49" s="17" t="n">
        <v>70</v>
      </c>
      <c r="I49">
        <f>IF(COUNT(E49:H49)=4,ROUND(E49*0.35+F49*0.25+G49*0.2+H49*0.2,0),"")</f>
        <v/>
      </c>
    </row>
    <row r="50">
      <c r="A50" t="inlineStr">
        <is>
          <t>R3</t>
        </is>
      </c>
      <c r="B50" t="inlineStr">
        <is>
          <t>P2b</t>
        </is>
      </c>
      <c r="C50" t="inlineStr">
        <is>
          <t>Requirement 10</t>
        </is>
      </c>
      <c r="E50" s="17" t="n">
        <v>93</v>
      </c>
      <c r="F50" s="17" t="n">
        <v>90</v>
      </c>
      <c r="G50" s="17" t="n">
        <v>75</v>
      </c>
      <c r="H50" s="17" t="n">
        <v>70</v>
      </c>
      <c r="I50">
        <f>IF(COUNT(E50:H50)=4,ROUND(E50*0.35+F50*0.25+G50*0.2+H50*0.2,0),"")</f>
        <v/>
      </c>
    </row>
    <row r="51">
      <c r="A51" t="inlineStr">
        <is>
          <t>R3</t>
        </is>
      </c>
      <c r="B51" t="inlineStr">
        <is>
          <t>P2b</t>
        </is>
      </c>
      <c r="C51" t="inlineStr">
        <is>
          <t>Requirement 12</t>
        </is>
      </c>
      <c r="E51" s="17" t="n">
        <v>78</v>
      </c>
      <c r="F51" s="17" t="n">
        <v>90</v>
      </c>
      <c r="G51" s="17" t="n">
        <v>70</v>
      </c>
      <c r="H51" s="17" t="n">
        <v>70</v>
      </c>
      <c r="I51">
        <f>IF(COUNT(E51:H51)=4,ROUND(E51*0.35+F51*0.25+G51*0.2+H51*0.2,0),"")</f>
        <v/>
      </c>
    </row>
    <row r="53">
      <c r="A53" s="15" t="inlineStr">
        <is>
          <t>Policy-level score per reviewer</t>
        </is>
      </c>
    </row>
    <row r="54">
      <c r="A54" t="inlineStr">
        <is>
          <t>R1</t>
        </is>
      </c>
      <c r="B54" t="inlineStr">
        <is>
          <t>P1a</t>
        </is>
      </c>
      <c r="C54" t="inlineStr">
        <is>
          <t>Policy-level score</t>
        </is>
      </c>
      <c r="I54">
        <f>ROUND(AVERAGE(I4,I5,I6,I7),0)</f>
        <v/>
      </c>
    </row>
    <row r="55">
      <c r="A55" t="inlineStr">
        <is>
          <t>R1</t>
        </is>
      </c>
      <c r="B55" t="inlineStr">
        <is>
          <t>P1b</t>
        </is>
      </c>
      <c r="C55" t="inlineStr">
        <is>
          <t>Policy-level score</t>
        </is>
      </c>
      <c r="I55">
        <f>ROUND(AVERAGE(I8,I9,I10,I11),0)</f>
        <v/>
      </c>
    </row>
    <row r="56">
      <c r="A56" t="inlineStr">
        <is>
          <t>R1</t>
        </is>
      </c>
      <c r="B56" t="inlineStr">
        <is>
          <t>P2a</t>
        </is>
      </c>
      <c r="C56" t="inlineStr">
        <is>
          <t>Policy-level score</t>
        </is>
      </c>
      <c r="I56">
        <f>ROUND(AVERAGE(I12,I13,I14,I15),0)</f>
        <v/>
      </c>
    </row>
    <row r="57">
      <c r="A57" t="inlineStr">
        <is>
          <t>R1</t>
        </is>
      </c>
      <c r="B57" t="inlineStr">
        <is>
          <t>P2b</t>
        </is>
      </c>
      <c r="C57" t="inlineStr">
        <is>
          <t>Policy-level score</t>
        </is>
      </c>
      <c r="I57">
        <f>ROUND(AVERAGE(I16,I17,I18,I19),0)</f>
        <v/>
      </c>
    </row>
    <row r="58">
      <c r="A58" t="inlineStr">
        <is>
          <t>R2</t>
        </is>
      </c>
      <c r="B58" t="inlineStr">
        <is>
          <t>P1a</t>
        </is>
      </c>
      <c r="C58" t="inlineStr">
        <is>
          <t>Policy-level score</t>
        </is>
      </c>
      <c r="I58">
        <f>ROUND(AVERAGE(I20,I21,I22,I23),0)</f>
        <v/>
      </c>
    </row>
    <row r="59">
      <c r="A59" t="inlineStr">
        <is>
          <t>R2</t>
        </is>
      </c>
      <c r="B59" t="inlineStr">
        <is>
          <t>P1b</t>
        </is>
      </c>
      <c r="C59" t="inlineStr">
        <is>
          <t>Policy-level score</t>
        </is>
      </c>
      <c r="I59">
        <f>ROUND(AVERAGE(I24,I25,I26,I27),0)</f>
        <v/>
      </c>
    </row>
    <row r="60">
      <c r="A60" t="inlineStr">
        <is>
          <t>R2</t>
        </is>
      </c>
      <c r="B60" t="inlineStr">
        <is>
          <t>P2a</t>
        </is>
      </c>
      <c r="C60" t="inlineStr">
        <is>
          <t>Policy-level score</t>
        </is>
      </c>
      <c r="I60">
        <f>ROUND(AVERAGE(I28,I29,I30,I31),0)</f>
        <v/>
      </c>
    </row>
    <row r="61">
      <c r="A61" t="inlineStr">
        <is>
          <t>R2</t>
        </is>
      </c>
      <c r="B61" t="inlineStr">
        <is>
          <t>P2b</t>
        </is>
      </c>
      <c r="C61" t="inlineStr">
        <is>
          <t>Policy-level score</t>
        </is>
      </c>
      <c r="I61">
        <f>ROUND(AVERAGE(I32,I33,I34,I35),0)</f>
        <v/>
      </c>
    </row>
    <row r="62">
      <c r="A62" t="inlineStr">
        <is>
          <t>R3</t>
        </is>
      </c>
      <c r="B62" t="inlineStr">
        <is>
          <t>P1a</t>
        </is>
      </c>
      <c r="C62" t="inlineStr">
        <is>
          <t>Policy-level score</t>
        </is>
      </c>
      <c r="I62">
        <f>ROUND(AVERAGE(I36,I37,I38,I39),0)</f>
        <v/>
      </c>
    </row>
    <row r="63">
      <c r="A63" t="inlineStr">
        <is>
          <t>R3</t>
        </is>
      </c>
      <c r="B63" t="inlineStr">
        <is>
          <t>P1b</t>
        </is>
      </c>
      <c r="C63" t="inlineStr">
        <is>
          <t>Policy-level score</t>
        </is>
      </c>
      <c r="I63">
        <f>ROUND(AVERAGE(I40,I41,I42,I43),0)</f>
        <v/>
      </c>
    </row>
    <row r="64">
      <c r="A64" t="inlineStr">
        <is>
          <t>R3</t>
        </is>
      </c>
      <c r="B64" t="inlineStr">
        <is>
          <t>P2a</t>
        </is>
      </c>
      <c r="C64" t="inlineStr">
        <is>
          <t>Policy-level score</t>
        </is>
      </c>
      <c r="I64">
        <f>ROUND(AVERAGE(I44,I45,I46,I47),0)</f>
        <v/>
      </c>
    </row>
    <row r="65">
      <c r="A65" t="inlineStr">
        <is>
          <t>R3</t>
        </is>
      </c>
      <c r="B65" t="inlineStr">
        <is>
          <t>P2b</t>
        </is>
      </c>
      <c r="C65" t="inlineStr">
        <is>
          <t>Policy-level score</t>
        </is>
      </c>
      <c r="I65">
        <f>ROUND(AVERAGE(I48,I49,I50,I51),0)</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54"/>
  <sheetViews>
    <sheetView workbookViewId="0">
      <selection activeCell="A1" sqref="A1"/>
    </sheetView>
  </sheetViews>
  <sheetFormatPr baseColWidth="8" defaultRowHeight="14.5"/>
  <cols>
    <col width="13" customWidth="1" min="1" max="1"/>
    <col width="8" customWidth="1" min="2" max="2"/>
    <col width="17" customWidth="1" min="3" max="4"/>
    <col width="78" customWidth="1" min="5" max="5"/>
    <col width="8" customWidth="1" min="6" max="6"/>
    <col width="10" customWidth="1" min="7" max="7"/>
  </cols>
  <sheetData>
    <row r="1">
      <c r="A1" s="15" t="inlineStr">
        <is>
          <t>Phase 4 reviewer findings, transcribed verbatim from the returned forms.</t>
        </is>
      </c>
    </row>
    <row r="2">
      <c r="A2" t="inlineStr">
        <is>
          <t>Reviewers are identified by code only. The code-to-name mapping is held outside this workbook and is not reproduced in the dissertation.</t>
        </is>
      </c>
    </row>
    <row r="3">
      <c r="A3" s="16" t="inlineStr">
        <is>
          <t>Reviewer</t>
        </is>
      </c>
      <c r="B3" s="16" t="inlineStr">
        <is>
          <t>Policy</t>
        </is>
      </c>
      <c r="C3" s="16" t="inlineStr">
        <is>
          <t>Requirement area</t>
        </is>
      </c>
      <c r="D3" s="16" t="inlineStr">
        <is>
          <t>Sub-requirement</t>
        </is>
      </c>
      <c r="E3" s="16" t="inlineStr">
        <is>
          <t>What is missing, wrong or unenforceable</t>
        </is>
      </c>
      <c r="F3" s="16" t="inlineStr">
        <is>
          <t>Tag</t>
        </is>
      </c>
      <c r="G3" s="16" t="inlineStr">
        <is>
          <t>Severity</t>
        </is>
      </c>
    </row>
    <row r="4">
      <c r="A4" t="inlineStr">
        <is>
          <t>R1</t>
        </is>
      </c>
      <c r="B4" t="inlineStr">
        <is>
          <t>P1a</t>
        </is>
      </c>
      <c r="C4" t="inlineStr">
        <is>
          <t>Requirement 7</t>
        </is>
      </c>
      <c r="D4" t="inlineStr">
        <is>
          <t>7.1.2</t>
        </is>
      </c>
      <c r="E4" t="inlineStr">
        <is>
          <t>Clause 1.3 states that operational responsibilities "shall be documented, assigned and communicated", which defers the assignment instead of making it. No role is named for any Requirement 7 activity, and "communicated" is weaker than the standard's "understood".</t>
        </is>
      </c>
      <c r="F4" t="inlineStr">
        <is>
          <t>A</t>
        </is>
      </c>
      <c r="G4" t="inlineStr">
        <is>
          <t>Minor</t>
        </is>
      </c>
    </row>
    <row r="5">
      <c r="A5" t="inlineStr">
        <is>
          <t>R1</t>
        </is>
      </c>
      <c r="B5" t="inlineStr">
        <is>
          <t>P1a</t>
        </is>
      </c>
      <c r="C5" t="inlineStr">
        <is>
          <t>Requirement 7</t>
        </is>
      </c>
      <c r="D5" t="inlineStr">
        <is>
          <t>7.2.3</t>
        </is>
      </c>
      <c r="E5" t="inlineStr">
        <is>
          <t>Clause 2.2 requires approval by "authorized personnel" and nowhere states who holds that authority. Whether a given approval was validly given is therefore not testable.</t>
        </is>
      </c>
      <c r="F5" t="inlineStr">
        <is>
          <t>A</t>
        </is>
      </c>
      <c r="G5" t="inlineStr">
        <is>
          <t>Minor</t>
        </is>
      </c>
    </row>
    <row r="6">
      <c r="A6" t="inlineStr">
        <is>
          <t>R1</t>
        </is>
      </c>
      <c r="B6" t="inlineStr">
        <is>
          <t>P1a</t>
        </is>
      </c>
      <c r="C6" t="inlineStr">
        <is>
          <t>Requirement 7</t>
        </is>
      </c>
      <c r="D6" t="inlineStr">
        <is>
          <t>7.2.4</t>
        </is>
      </c>
      <c r="E6" t="inlineStr">
        <is>
          <t>Clause 2.3 states the 6-month interval and the 4 review elements entirely in the passive, so no role is required to perform the review, and none is required to address its exceptions or to hold the management acknowledgement. No owner is named.</t>
        </is>
      </c>
      <c r="F6" t="inlineStr">
        <is>
          <t>A</t>
        </is>
      </c>
      <c r="G6" t="inlineStr">
        <is>
          <t>Minor</t>
        </is>
      </c>
    </row>
    <row r="7">
      <c r="A7" t="inlineStr">
        <is>
          <t>R1</t>
        </is>
      </c>
      <c r="B7" t="inlineStr">
        <is>
          <t>P1a</t>
        </is>
      </c>
      <c r="C7" t="inlineStr">
        <is>
          <t>Requirement 7</t>
        </is>
      </c>
      <c r="D7" t="inlineStr">
        <is>
          <t>7.2.5.1</t>
        </is>
      </c>
      <c r="E7" t="inlineStr">
        <is>
          <t>The review frequency is deferred to a targeted risk analysis which clause 5.3 also does no more than promise. Until that analysis exists, no testable interval binds the review of application and system accounts.</t>
        </is>
      </c>
      <c r="F7" t="inlineStr">
        <is>
          <t>A</t>
        </is>
      </c>
      <c r="G7" t="inlineStr">
        <is>
          <t>Minor</t>
        </is>
      </c>
    </row>
    <row r="8">
      <c r="A8" t="inlineStr">
        <is>
          <t>R1</t>
        </is>
      </c>
      <c r="B8" t="inlineStr">
        <is>
          <t>P1a</t>
        </is>
      </c>
      <c r="C8" t="inlineStr">
        <is>
          <t>Requirement 7</t>
        </is>
      </c>
      <c r="D8" t="inlineStr">
        <is>
          <t>7.2.6</t>
        </is>
      </c>
      <c r="E8" t="inlineStr">
        <is>
          <t>Although the condition is defensible for this environment, the control is conditional on a repository existing ("Where a repository of stored cardholder data exists within scope"), and no role is made responsible for determining that one has come into existence.</t>
        </is>
      </c>
      <c r="F8" t="inlineStr">
        <is>
          <t>A</t>
        </is>
      </c>
      <c r="G8" t="inlineStr">
        <is>
          <t>Minor</t>
        </is>
      </c>
    </row>
    <row r="9">
      <c r="A9" t="inlineStr">
        <is>
          <t>R1</t>
        </is>
      </c>
      <c r="B9" t="inlineStr">
        <is>
          <t>P1a</t>
        </is>
      </c>
      <c r="C9" t="inlineStr">
        <is>
          <t>Requirement 8</t>
        </is>
      </c>
      <c r="D9" t="inlineStr">
        <is>
          <t>8.1.2</t>
        </is>
      </c>
      <c r="E9" t="inlineStr">
        <is>
          <t>As at 7.1.2. Clause 1.3 carries the same wording, "shall be documented, assigned and communicated", and no role owns any Requirement 8 activity. The standard's "understood" is not stated.</t>
        </is>
      </c>
      <c r="F9" t="inlineStr">
        <is>
          <t>A</t>
        </is>
      </c>
      <c r="G9" t="inlineStr">
        <is>
          <t>Minor</t>
        </is>
      </c>
    </row>
    <row r="10">
      <c r="A10" t="inlineStr">
        <is>
          <t>R1</t>
        </is>
      </c>
      <c r="B10" t="inlineStr">
        <is>
          <t>P1a</t>
        </is>
      </c>
      <c r="C10" t="inlineStr">
        <is>
          <t>Requirement 8</t>
        </is>
      </c>
      <c r="D10" t="inlineStr">
        <is>
          <t>8.2.2</t>
        </is>
      </c>
      <c r="E10" t="inlineStr">
        <is>
          <t>Clause 3.2 requires "explicit management approval" without stating which manager holds it, and limits use to "the time required" without setting a maximum or a review point. No approver is named and no ceiling is set.</t>
        </is>
      </c>
      <c r="F10" t="inlineStr">
        <is>
          <t>A</t>
        </is>
      </c>
      <c r="G10" t="inlineStr">
        <is>
          <t>Minor</t>
        </is>
      </c>
    </row>
    <row r="11">
      <c r="A11" t="inlineStr">
        <is>
          <t>R1</t>
        </is>
      </c>
      <c r="B11" t="inlineStr">
        <is>
          <t>P1a</t>
        </is>
      </c>
      <c r="C11" t="inlineStr">
        <is>
          <t>Requirement 8</t>
        </is>
      </c>
      <c r="D11" t="inlineStr">
        <is>
          <t>8.2.8</t>
        </is>
      </c>
      <c r="E11" t="inlineStr">
        <is>
          <t>Clause 3.5 applies the 15-minute rule "where Requirement 8.2.8 applies". The qualifier is self-referential, so the set of in-scope sessions is left undetermined, and although the order-management platform is described, it is not named as bound by the clause.</t>
        </is>
      </c>
      <c r="F11" t="inlineStr">
        <is>
          <t>T</t>
        </is>
      </c>
      <c r="G11" t="inlineStr">
        <is>
          <t>Minor</t>
        </is>
      </c>
    </row>
    <row r="12">
      <c r="A12" t="inlineStr">
        <is>
          <t>R1</t>
        </is>
      </c>
      <c r="B12" t="inlineStr">
        <is>
          <t>P1a</t>
        </is>
      </c>
      <c r="C12" t="inlineStr">
        <is>
          <t>Requirement 8</t>
        </is>
      </c>
      <c r="D12" t="inlineStr">
        <is>
          <t>8.3.4</t>
        </is>
      </c>
      <c r="E12" t="inlineStr">
        <is>
          <t>Clause 3.7 sets lockout at "no more than 10 invalid authentication attempts", where the identity provider is already stricter at 6. The systems the clause binds are not named and the stricter existing setting is not preserved, so the clause reads as licence to relax it.</t>
        </is>
      </c>
      <c r="F12" t="inlineStr">
        <is>
          <t>T</t>
        </is>
      </c>
      <c r="G12" t="inlineStr">
        <is>
          <t>Minor</t>
        </is>
      </c>
    </row>
    <row r="13">
      <c r="A13" t="inlineStr">
        <is>
          <t>R1</t>
        </is>
      </c>
      <c r="B13" t="inlineStr">
        <is>
          <t>P1a</t>
        </is>
      </c>
      <c r="C13" t="inlineStr">
        <is>
          <t>Requirement 8</t>
        </is>
      </c>
      <c r="D13" t="inlineStr">
        <is>
          <t>8.6.2</t>
        </is>
      </c>
      <c r="E13" t="inlineStr">
        <is>
          <t>Although the prohibition on hard-coded credentials is stated in full, the deployment credentials held as repository secrets are not addressed anywhere, so whether that arrangement satisfies 3.12 or breaches it is left to inference.</t>
        </is>
      </c>
      <c r="F13" t="inlineStr">
        <is>
          <t>T</t>
        </is>
      </c>
      <c r="G13" t="inlineStr">
        <is>
          <t>Minor</t>
        </is>
      </c>
    </row>
    <row r="14">
      <c r="A14" t="inlineStr">
        <is>
          <t>R1</t>
        </is>
      </c>
      <c r="B14" t="inlineStr">
        <is>
          <t>P1a</t>
        </is>
      </c>
      <c r="C14" t="inlineStr">
        <is>
          <t>Requirement 8</t>
        </is>
      </c>
      <c r="D14" t="inlineStr">
        <is>
          <t>8.3.8</t>
        </is>
      </c>
      <c r="E14" t="inlineStr">
        <is>
          <t>Clause 3.9 states what the guidance must address, and then assigns no author and names no distribution point, and nothing requires the audience to be tested, so "documented and communicated to users" is not evidenced from the policy alone.</t>
        </is>
      </c>
      <c r="F14" t="inlineStr">
        <is>
          <t>A</t>
        </is>
      </c>
      <c r="G14" t="inlineStr">
        <is>
          <t>Minor</t>
        </is>
      </c>
    </row>
    <row r="15">
      <c r="A15" t="inlineStr">
        <is>
          <t>R1</t>
        </is>
      </c>
      <c r="B15" t="inlineStr">
        <is>
          <t>P1a</t>
        </is>
      </c>
      <c r="C15" t="inlineStr">
        <is>
          <t>Requirement 10</t>
        </is>
      </c>
      <c r="D15" t="inlineStr">
        <is>
          <t>10.1.2</t>
        </is>
      </c>
      <c r="E15" t="inlineStr">
        <is>
          <t>Clause 4.1 states that responsibilities "shall be assigned and understood" without requiring that they be documented, and it names no role. The obligation is present in weaker terms than the sub-requirement states.</t>
        </is>
      </c>
      <c r="F15" t="inlineStr">
        <is>
          <t>A</t>
        </is>
      </c>
      <c r="G15" t="inlineStr">
        <is>
          <t>Minor</t>
        </is>
      </c>
    </row>
    <row r="16">
      <c r="A16" t="inlineStr">
        <is>
          <t>R1</t>
        </is>
      </c>
      <c r="B16" t="inlineStr">
        <is>
          <t>P1a</t>
        </is>
      </c>
      <c r="C16" t="inlineStr">
        <is>
          <t>Requirement 10</t>
        </is>
      </c>
      <c r="D16" t="inlineStr">
        <is>
          <t>10.4.1</t>
        </is>
      </c>
      <c r="E16" t="inlineStr">
        <is>
          <t>No reviewer is named and no mechanism is stated, whilst clause 4.3 requires the review every day regardless of office hours, and the only alerting route in the environment is a shared mailbox watched 08:00 to 18:00 on working days, with neither a rota nor an automated first-stage review provided to close the gap.</t>
        </is>
      </c>
      <c r="F16" t="inlineStr">
        <is>
          <t>A, T</t>
        </is>
      </c>
      <c r="G16" t="inlineStr">
        <is>
          <t>Minor</t>
        </is>
      </c>
    </row>
    <row r="17">
      <c r="A17" t="inlineStr">
        <is>
          <t>R1</t>
        </is>
      </c>
      <c r="B17" t="inlineStr">
        <is>
          <t>P1a</t>
        </is>
      </c>
      <c r="C17" t="inlineStr">
        <is>
          <t>Requirement 10</t>
        </is>
      </c>
      <c r="D17" t="inlineStr">
        <is>
          <t>10.4.2</t>
        </is>
      </c>
      <c r="E17" t="inlineStr">
        <is>
          <t>Clause 4.4 requires "relevant administrator activity logs maintained within SaaS platforms" to be included in "the applicable review arrangements", and both qualifiers are left undefined. The order-management administrator log, which is not forwarded to the monitoring platform, is never named.</t>
        </is>
      </c>
      <c r="F17" t="inlineStr">
        <is>
          <t>T</t>
        </is>
      </c>
      <c r="G17" t="inlineStr">
        <is>
          <t>Minor</t>
        </is>
      </c>
    </row>
    <row r="18">
      <c r="A18" t="inlineStr">
        <is>
          <t>R1</t>
        </is>
      </c>
      <c r="B18" t="inlineStr">
        <is>
          <t>P1a</t>
        </is>
      </c>
      <c r="C18" t="inlineStr">
        <is>
          <t>Requirement 10</t>
        </is>
      </c>
      <c r="D18" t="inlineStr">
        <is>
          <t>10.5.1</t>
        </is>
      </c>
      <c r="E18" t="inlineStr">
        <is>
          <t>Clause 4.6 requires retention beyond the 90-day searchable period, and states no archive, no protection against alteration or deletion, no owner and no date by which the gap closes, so the obligation stands with no stated means of meeting it.</t>
        </is>
      </c>
      <c r="F18" t="inlineStr">
        <is>
          <t>T</t>
        </is>
      </c>
      <c r="G18" t="inlineStr">
        <is>
          <t>Minor</t>
        </is>
      </c>
    </row>
    <row r="19">
      <c r="A19" t="inlineStr">
        <is>
          <t>R1</t>
        </is>
      </c>
      <c r="B19" t="inlineStr">
        <is>
          <t>P1a</t>
        </is>
      </c>
      <c r="C19" t="inlineStr">
        <is>
          <t>Requirement 10</t>
        </is>
      </c>
      <c r="D19" t="inlineStr">
        <is>
          <t>10.7.3</t>
        </is>
      </c>
      <c r="E19" t="inlineStr">
        <is>
          <t>"Critical security control systems" is never defined for NorthPay, so the trigger for the 7-step response at 4.7 is not testable. An assessor would ask which failures start the clock, and the policy holds no answer.</t>
        </is>
      </c>
      <c r="F19" t="inlineStr">
        <is>
          <t>T</t>
        </is>
      </c>
      <c r="G19" t="inlineStr">
        <is>
          <t>Minor</t>
        </is>
      </c>
    </row>
    <row r="20">
      <c r="A20" t="inlineStr">
        <is>
          <t>R1</t>
        </is>
      </c>
      <c r="B20" t="inlineStr">
        <is>
          <t>P1a</t>
        </is>
      </c>
      <c r="C20" t="inlineStr">
        <is>
          <t>Requirement 12</t>
        </is>
      </c>
      <c r="D20" t="inlineStr">
        <is>
          <t>12.1.3</t>
        </is>
      </c>
      <c r="E20" t="inlineStr">
        <is>
          <t>The policy defines the Chief Technology Officer and the Information Security Manager and nobody else. For all other personnel, clause 1.3 states that responsibilities "shall be documented, assigned and communicated", which defers the definition instead of making it, where the sub-requirement asks this instrument itself to define roles and responsibilities for all personnel.</t>
        </is>
      </c>
      <c r="F20" t="inlineStr">
        <is>
          <t>A</t>
        </is>
      </c>
      <c r="G20" t="inlineStr">
        <is>
          <t>Major</t>
        </is>
      </c>
    </row>
    <row r="21">
      <c r="A21" t="inlineStr">
        <is>
          <t>R1</t>
        </is>
      </c>
      <c r="B21" t="inlineStr">
        <is>
          <t>P1a</t>
        </is>
      </c>
      <c r="C21" t="inlineStr">
        <is>
          <t>Requirement 12</t>
        </is>
      </c>
      <c r="D21" t="inlineStr">
        <is>
          <t>12.3.1</t>
        </is>
      </c>
      <c r="E21" t="inlineStr">
        <is>
          <t>Although the analysis is specified in full at 5.3, and 4 other clauses depend on it (7.2.5.1, 8.6.3, 10.4.2.1, 12.10.4.1), no owner and no completion date is set for producing it. Those 4 frequencies are left undetermined by the policy.</t>
        </is>
      </c>
      <c r="F21" t="inlineStr">
        <is>
          <t>A</t>
        </is>
      </c>
      <c r="G21" t="inlineStr">
        <is>
          <t>Minor</t>
        </is>
      </c>
    </row>
    <row r="22">
      <c r="A22" t="inlineStr">
        <is>
          <t>R1</t>
        </is>
      </c>
      <c r="B22" t="inlineStr">
        <is>
          <t>P1a</t>
        </is>
      </c>
      <c r="C22" t="inlineStr">
        <is>
          <t>Requirement 12</t>
        </is>
      </c>
      <c r="D22" t="inlineStr">
        <is>
          <t>12.10.1</t>
        </is>
      </c>
      <c r="E22" t="inlineStr">
        <is>
          <t>The plan's legal element is stated only as "analysis of applicable legal reporting requirements". Where the acquirer and payment-brand notification meets the controller's 72-hour duty to the Information Commissioner, no relationship is mapped, so the element is not testable against the 2 clocks NorthPay actually faces.</t>
        </is>
      </c>
      <c r="F22" t="inlineStr">
        <is>
          <t>L, A</t>
        </is>
      </c>
      <c r="G22" t="inlineStr">
        <is>
          <t>Minor</t>
        </is>
      </c>
    </row>
    <row r="23">
      <c r="A23" t="inlineStr">
        <is>
          <t>R1</t>
        </is>
      </c>
      <c r="B23" t="inlineStr">
        <is>
          <t>P1a</t>
        </is>
      </c>
      <c r="C23" t="inlineStr">
        <is>
          <t>Requirement 12</t>
        </is>
      </c>
      <c r="D23" t="inlineStr">
        <is>
          <t>12.10.3</t>
        </is>
      </c>
      <c r="E23" t="inlineStr">
        <is>
          <t>Clause 8.3 requires designated personnel available 24/7 and coverage outside shared-mailbox hours, and then names no rota, names no primary and deputy, and states no alerting route capable of reaching a responder out of hours, so the obligation stands with nothing in the policy making it operable.</t>
        </is>
      </c>
      <c r="F23" t="inlineStr">
        <is>
          <t>A</t>
        </is>
      </c>
      <c r="G23" t="inlineStr">
        <is>
          <t>Minor</t>
        </is>
      </c>
    </row>
    <row r="24">
      <c r="A24" t="inlineStr">
        <is>
          <t>R1</t>
        </is>
      </c>
      <c r="B24" t="inlineStr">
        <is>
          <t>P1a</t>
        </is>
      </c>
      <c r="C24" t="inlineStr">
        <is>
          <t>Requirement 12</t>
        </is>
      </c>
      <c r="D24" t="inlineStr">
        <is>
          <t>12.8.4</t>
        </is>
      </c>
      <c r="E24" t="inlineStr">
        <is>
          <t>Annual monitoring of third-party PCI DSS status is required at 7.4, with no owner named for it, and the register at 7.1 sets no date by which the suppliers already touching the cloud environment are to be entered.</t>
        </is>
      </c>
      <c r="F24" t="inlineStr">
        <is>
          <t>A</t>
        </is>
      </c>
      <c r="G24" t="inlineStr">
        <is>
          <t>Minor</t>
        </is>
      </c>
    </row>
    <row r="25">
      <c r="A25" t="inlineStr">
        <is>
          <t>R1</t>
        </is>
      </c>
      <c r="B25" t="inlineStr">
        <is>
          <t>P1a</t>
        </is>
      </c>
      <c r="C25" t="inlineStr">
        <is>
          <t>Requirement 12</t>
        </is>
      </c>
      <c r="D25" t="inlineStr">
        <is>
          <t>12.6.3</t>
        </is>
      </c>
      <c r="E25" t="inlineStr">
        <is>
          <t>Training on hire and every 12 months is required, with an annual acknowledgement, and 6.2 requires completion to be tracked and followed up. No completion target is set and no escalation route is stated, and non-completion carries no consequence.</t>
        </is>
      </c>
      <c r="F25" t="inlineStr">
        <is>
          <t>A</t>
        </is>
      </c>
      <c r="G25" t="inlineStr">
        <is>
          <t>Minor</t>
        </is>
      </c>
    </row>
    <row r="26">
      <c r="A26" t="inlineStr">
        <is>
          <t>R1</t>
        </is>
      </c>
      <c r="B26" t="inlineStr">
        <is>
          <t>P1b</t>
        </is>
      </c>
      <c r="C26" t="inlineStr">
        <is>
          <t>Requirement 7</t>
        </is>
      </c>
      <c r="D26" t="inlineStr">
        <is>
          <t>7.2.5.1</t>
        </is>
      </c>
      <c r="E26" t="inlineStr">
        <is>
          <t>Clause 3.5 states the review and its targeted-risk-analysis frequency, and then does not require inappropriate access to be addressed, nor management to acknowledge that the access remains appropriate, both of which are stated for user accounts at 3.4 and dropped here. 2 elements are therefore missing.</t>
        </is>
      </c>
      <c r="F26" t="inlineStr">
        <is>
          <t>A</t>
        </is>
      </c>
      <c r="G26" t="inlineStr">
        <is>
          <t>Minor</t>
        </is>
      </c>
    </row>
    <row r="27">
      <c r="A27" t="inlineStr">
        <is>
          <t>R1</t>
        </is>
      </c>
      <c r="B27" t="inlineStr">
        <is>
          <t>P1b</t>
        </is>
      </c>
      <c r="C27" t="inlineStr">
        <is>
          <t>Requirement 7</t>
        </is>
      </c>
      <c r="D27" t="inlineStr">
        <is>
          <t>7.2.3</t>
        </is>
      </c>
      <c r="E27" t="inlineStr">
        <is>
          <t>Clause 3.2 requires approval "by the person's manager and/or appropriate system owner". The "and/or" leaves an assessor unable to tell whose signature is required for privileged access, and only self-approval is expressly barred.</t>
        </is>
      </c>
      <c r="F27" t="inlineStr">
        <is>
          <t>A</t>
        </is>
      </c>
      <c r="G27" t="inlineStr">
        <is>
          <t>Minor</t>
        </is>
      </c>
    </row>
    <row r="28">
      <c r="A28" t="inlineStr">
        <is>
          <t>R1</t>
        </is>
      </c>
      <c r="B28" t="inlineStr">
        <is>
          <t>P1b</t>
        </is>
      </c>
      <c r="C28" t="inlineStr">
        <is>
          <t>Requirement 7</t>
        </is>
      </c>
      <c r="D28" t="inlineStr">
        <is>
          <t>7.2.1</t>
        </is>
      </c>
      <c r="E28" t="inlineStr">
        <is>
          <t>"Separation between ordinary and privileged access where appropriate" at 3.1. The qualifier is not testable, and no role is made responsible for deciding where separation applies.</t>
        </is>
      </c>
      <c r="F28" t="inlineStr">
        <is>
          <t>A</t>
        </is>
      </c>
      <c r="G28" t="inlineStr">
        <is>
          <t>Minor</t>
        </is>
      </c>
    </row>
    <row r="29">
      <c r="A29" t="inlineStr">
        <is>
          <t>R1</t>
        </is>
      </c>
      <c r="B29" t="inlineStr">
        <is>
          <t>P1b</t>
        </is>
      </c>
      <c r="C29" t="inlineStr">
        <is>
          <t>Requirement 7</t>
        </is>
      </c>
      <c r="D29" t="inlineStr">
        <is>
          <t>7.2.5</t>
        </is>
      </c>
      <c r="E29" t="inlineStr">
        <is>
          <t>The register at 3.5 covers "material application and system accounts". "Material" is not defined anywhere, so the completeness of the register is not testable, and an omitted service account is no breach of the clause as drafted.</t>
        </is>
      </c>
      <c r="F29" t="inlineStr">
        <is>
          <t>A</t>
        </is>
      </c>
      <c r="G29" t="inlineStr">
        <is>
          <t>Minor</t>
        </is>
      </c>
    </row>
    <row r="30">
      <c r="A30" t="inlineStr">
        <is>
          <t>R1</t>
        </is>
      </c>
      <c r="B30" t="inlineStr">
        <is>
          <t>P1b</t>
        </is>
      </c>
      <c r="C30" t="inlineStr">
        <is>
          <t>Requirement 7</t>
        </is>
      </c>
      <c r="D30" t="inlineStr">
        <is>
          <t>7.2.4</t>
        </is>
      </c>
      <c r="E30" t="inlineStr">
        <is>
          <t>Although the 6-monthly review is owned and tracked, no consequence and no escalation attaches where a review is not completed timely, and no backstop is stated.</t>
        </is>
      </c>
      <c r="F30" t="inlineStr">
        <is>
          <t>A</t>
        </is>
      </c>
      <c r="G30" t="inlineStr">
        <is>
          <t>Minor</t>
        </is>
      </c>
    </row>
    <row r="31">
      <c r="A31" t="inlineStr">
        <is>
          <t>R1</t>
        </is>
      </c>
      <c r="B31" t="inlineStr">
        <is>
          <t>P1b</t>
        </is>
      </c>
      <c r="C31" t="inlineStr">
        <is>
          <t>Requirement 8</t>
        </is>
      </c>
      <c r="D31" t="inlineStr">
        <is>
          <t>8.3.1</t>
        </is>
      </c>
      <c r="E31" t="inlineStr">
        <is>
          <t>Clause 4.6 cites 8.3.1, opens on protecting authentication factors and then addresses passwords alone. Nothing in the policy requires all user and administrator access to in-scope components to be authenticated by a permitted factor, so the general rule the remainder of section 4 assumes is not stated anywhere.</t>
        </is>
      </c>
      <c r="F31" t="inlineStr">
        <is>
          <t>T</t>
        </is>
      </c>
      <c r="G31" t="inlineStr">
        <is>
          <t>Major</t>
        </is>
      </c>
    </row>
    <row r="32">
      <c r="A32" t="inlineStr">
        <is>
          <t>R1</t>
        </is>
      </c>
      <c r="B32" t="inlineStr">
        <is>
          <t>P1b</t>
        </is>
      </c>
      <c r="C32" t="inlineStr">
        <is>
          <t>Requirement 8</t>
        </is>
      </c>
      <c r="D32" t="inlineStr">
        <is>
          <t>8.3.6</t>
        </is>
      </c>
      <c r="E32" t="inlineStr">
        <is>
          <t>"They shall contain alphabetic and numeric characters where required by PCI DSS". An unconditional parameter is made conditional on a determination the policy neither makes nor assigns to anyone.</t>
        </is>
      </c>
      <c r="F32" t="inlineStr">
        <is>
          <t>T</t>
        </is>
      </c>
      <c r="G32" t="inlineStr">
        <is>
          <t>Minor</t>
        </is>
      </c>
    </row>
    <row r="33">
      <c r="A33" t="inlineStr">
        <is>
          <t>R1</t>
        </is>
      </c>
      <c r="B33" t="inlineStr">
        <is>
          <t>P1b</t>
        </is>
      </c>
      <c r="C33" t="inlineStr">
        <is>
          <t>Requirement 8</t>
        </is>
      </c>
      <c r="D33" t="inlineStr">
        <is>
          <t>8.3.11</t>
        </is>
      </c>
      <c r="E33" t="inlineStr">
        <is>
          <t>Only the first element is stated, tokens and certificates "shall not be shared", whilst the requirement that physical or logical controls ensure only the intended user can use the factor is absent.</t>
        </is>
      </c>
      <c r="F33" t="inlineStr">
        <is>
          <t>T</t>
        </is>
      </c>
      <c r="G33" t="inlineStr">
        <is>
          <t>Minor</t>
        </is>
      </c>
    </row>
    <row r="34">
      <c r="A34" t="inlineStr">
        <is>
          <t>R1</t>
        </is>
      </c>
      <c r="B34" t="inlineStr">
        <is>
          <t>P1b</t>
        </is>
      </c>
      <c r="C34" t="inlineStr">
        <is>
          <t>Requirement 8</t>
        </is>
      </c>
      <c r="D34" t="inlineStr">
        <is>
          <t>8.4.2</t>
        </is>
      </c>
      <c r="E34" t="inlineStr">
        <is>
          <t>Clause 4.8 requires MFA for "all applicable non-console access into the CDE" and enumerates the systems "where applicable". Where the standard states the obligation without qualification, the clause as drafted leaves the set of access it binds to be decided outside the policy.</t>
        </is>
      </c>
      <c r="F34" t="inlineStr">
        <is>
          <t>T</t>
        </is>
      </c>
      <c r="G34" t="inlineStr">
        <is>
          <t>Minor</t>
        </is>
      </c>
    </row>
    <row r="35">
      <c r="A35" t="inlineStr">
        <is>
          <t>R1</t>
        </is>
      </c>
      <c r="B35" t="inlineStr">
        <is>
          <t>P1b</t>
        </is>
      </c>
      <c r="C35" t="inlineStr">
        <is>
          <t>Requirement 8</t>
        </is>
      </c>
      <c r="D35" t="inlineStr">
        <is>
          <t>8.2.8</t>
        </is>
      </c>
      <c r="E35" t="inlineStr">
        <is>
          <t>Clause 4.5 states the 15-minute rule and then requires systems currently configured for longer or indefinite sessions to be "remediated or otherwise brought into compliance where the requirement applies". No date and no owner attaches to that, no interim control is stated, and although the order-management platform is described, it is not named.</t>
        </is>
      </c>
      <c r="F35" t="inlineStr">
        <is>
          <t>T</t>
        </is>
      </c>
      <c r="G35" t="inlineStr">
        <is>
          <t>Minor</t>
        </is>
      </c>
    </row>
    <row r="36">
      <c r="A36" t="inlineStr">
        <is>
          <t>R1</t>
        </is>
      </c>
      <c r="B36" t="inlineStr">
        <is>
          <t>P1b</t>
        </is>
      </c>
      <c r="C36" t="inlineStr">
        <is>
          <t>Requirement 8</t>
        </is>
      </c>
      <c r="D36" t="inlineStr">
        <is>
          <t>8.6.2</t>
        </is>
      </c>
      <c r="E36" t="inlineStr">
        <is>
          <t>Repository secrets are permitted "only where access, audit, encryption and lifecycle controls have been assessed as suitable for the relevant risk". No assessor is named and no record of the assessment is required, so the exception is not testable.</t>
        </is>
      </c>
      <c r="F36" t="inlineStr">
        <is>
          <t>T</t>
        </is>
      </c>
      <c r="G36" t="inlineStr">
        <is>
          <t>Minor</t>
        </is>
      </c>
    </row>
    <row r="37">
      <c r="A37" t="inlineStr">
        <is>
          <t>R1</t>
        </is>
      </c>
      <c r="B37" t="inlineStr">
        <is>
          <t>P1b</t>
        </is>
      </c>
      <c r="C37" t="inlineStr">
        <is>
          <t>Requirement 10</t>
        </is>
      </c>
      <c r="D37" t="inlineStr">
        <is>
          <t>10.1.2</t>
        </is>
      </c>
      <c r="E37" t="inlineStr">
        <is>
          <t>Clause 5.8 assigns the response to critical security control failures to "the responsible team", and no such team is named anywhere. Every other role in section 5 is named, which makes this one an oversight in an otherwise consistent section.</t>
        </is>
      </c>
      <c r="F37" t="inlineStr">
        <is>
          <t>A</t>
        </is>
      </c>
      <c r="G37" t="inlineStr">
        <is>
          <t>Minor</t>
        </is>
      </c>
    </row>
    <row r="38">
      <c r="A38" t="inlineStr">
        <is>
          <t>R1</t>
        </is>
      </c>
      <c r="B38" t="inlineStr">
        <is>
          <t>P1b</t>
        </is>
      </c>
      <c r="C38" t="inlineStr">
        <is>
          <t>Requirement 10</t>
        </is>
      </c>
      <c r="D38" t="inlineStr">
        <is>
          <t>10.4.1</t>
        </is>
      </c>
      <c r="E38" t="inlineStr">
        <is>
          <t>Automated correlation may perform the first-stage review "provided significant events are brought to human attention". "Significant" is not defined and no alert threshold is set. Nobody owns the tuning, which matters because the existing alert set in the environment was not designed against these categories.</t>
        </is>
      </c>
      <c r="F38" t="inlineStr">
        <is>
          <t>T</t>
        </is>
      </c>
      <c r="G38" t="inlineStr">
        <is>
          <t>Minor</t>
        </is>
      </c>
    </row>
    <row r="39">
      <c r="A39" t="inlineStr">
        <is>
          <t>R1</t>
        </is>
      </c>
      <c r="B39" t="inlineStr">
        <is>
          <t>P1b</t>
        </is>
      </c>
      <c r="C39" t="inlineStr">
        <is>
          <t>Requirement 10</t>
        </is>
      </c>
      <c r="D39" t="inlineStr">
        <is>
          <t>10.5.1</t>
        </is>
      </c>
      <c r="E39" t="inlineStr">
        <is>
          <t>The 12-month archive is required and the 90-day searchable gap is named. No storage is identified, no protection mechanism is stated, no owner is named and no date is set for closing the gap, so the obligation is complete and the means of meeting it is absent from the policy.</t>
        </is>
      </c>
      <c r="F39" t="inlineStr">
        <is>
          <t>T</t>
        </is>
      </c>
      <c r="G39" t="inlineStr">
        <is>
          <t>Minor</t>
        </is>
      </c>
    </row>
    <row r="40">
      <c r="A40" t="inlineStr">
        <is>
          <t>R1</t>
        </is>
      </c>
      <c r="B40" t="inlineStr">
        <is>
          <t>P1b</t>
        </is>
      </c>
      <c r="C40" t="inlineStr">
        <is>
          <t>Requirement 10</t>
        </is>
      </c>
      <c r="D40" t="inlineStr">
        <is>
          <t>10.3.1</t>
        </is>
      </c>
      <c r="E40" t="inlineStr">
        <is>
          <t>Although read access is limited to those with "a legitimate security, administration, audit or support need", nobody is made responsible for holding the entitlement list, and it is not drawn into the 6-monthly access review at 3.4.</t>
        </is>
      </c>
      <c r="F40" t="inlineStr">
        <is>
          <t>T</t>
        </is>
      </c>
      <c r="G40" t="inlineStr">
        <is>
          <t>Minor</t>
        </is>
      </c>
    </row>
    <row r="41">
      <c r="A41" t="inlineStr">
        <is>
          <t>R1</t>
        </is>
      </c>
      <c r="B41" t="inlineStr">
        <is>
          <t>P1b</t>
        </is>
      </c>
      <c r="C41" t="inlineStr">
        <is>
          <t>Requirement 10</t>
        </is>
      </c>
      <c r="D41" t="inlineStr">
        <is>
          <t>10.4.2</t>
        </is>
      </c>
      <c r="E41" t="inlineStr">
        <is>
          <t>Monthly review is stated as an "operational default" and not as a policy commitment, displaced by whatever the targeted risk analysis supports. The interval can therefore move with no documented decision point.</t>
        </is>
      </c>
      <c r="F41" t="inlineStr">
        <is>
          <t>A</t>
        </is>
      </c>
      <c r="G41" t="inlineStr">
        <is>
          <t>Minor</t>
        </is>
      </c>
    </row>
    <row r="42">
      <c r="A42" t="inlineStr">
        <is>
          <t>R1</t>
        </is>
      </c>
      <c r="B42" t="inlineStr">
        <is>
          <t>P1b</t>
        </is>
      </c>
      <c r="C42" t="inlineStr">
        <is>
          <t>Requirement 12</t>
        </is>
      </c>
      <c r="D42" t="inlineStr">
        <is>
          <t>12.6.2</t>
        </is>
      </c>
      <c r="E42" t="inlineStr">
        <is>
          <t>The annual review and update of the security awareness programme is absent, section 9 setting the training frequency and the content, and setting a completion expectation, whilst never requiring the programme itself to be reviewed every 12 months or updated against new threats. The generic line at 15, that supporting procedures are reviewed "according to their defined frequencies", defines no frequency for this one.</t>
        </is>
      </c>
      <c r="F42" t="inlineStr">
        <is>
          <t>A</t>
        </is>
      </c>
      <c r="G42" t="inlineStr">
        <is>
          <t>Major</t>
        </is>
      </c>
    </row>
    <row r="43">
      <c r="A43" t="inlineStr">
        <is>
          <t>R1</t>
        </is>
      </c>
      <c r="B43" t="inlineStr">
        <is>
          <t>P1b</t>
        </is>
      </c>
      <c r="C43" t="inlineStr">
        <is>
          <t>Requirement 12</t>
        </is>
      </c>
      <c r="D43" t="inlineStr">
        <is>
          <t>12.8.2</t>
        </is>
      </c>
      <c r="E43" t="inlineStr">
        <is>
          <t>The maintenance element is missing, in that clause 10.2 requires the acknowledgement wording in "applicable TPSP agreements" and never states that written agreements are maintained with every TPSP with which account data is shared or that could affect CDE security. Non-compliant contracts are deferred to "renewal or sooner according to risk", with no backstop date and no owner.</t>
        </is>
      </c>
      <c r="F43" t="inlineStr">
        <is>
          <t>A</t>
        </is>
      </c>
      <c r="G43" t="inlineStr">
        <is>
          <t>Minor</t>
        </is>
      </c>
    </row>
    <row r="44">
      <c r="A44" t="inlineStr">
        <is>
          <t>R1</t>
        </is>
      </c>
      <c r="B44" t="inlineStr">
        <is>
          <t>P1b</t>
        </is>
      </c>
      <c r="C44" t="inlineStr">
        <is>
          <t>Requirement 12</t>
        </is>
      </c>
      <c r="D44" t="inlineStr">
        <is>
          <t>12.3.3</t>
        </is>
      </c>
      <c r="E44" t="inlineStr">
        <is>
          <t>Clause 7.3 says automated certificate renewal "should" be used, and that expiry "shall not depend solely on an individual engineer's spreadsheet where automated monitoring is reasonably available". The obligation is conditioned on a reasonableness judgement nobody is assigned to make, and "should" states no obligation at all.</t>
        </is>
      </c>
      <c r="F44" t="inlineStr">
        <is>
          <t>A</t>
        </is>
      </c>
      <c r="G44" t="inlineStr">
        <is>
          <t>Minor</t>
        </is>
      </c>
    </row>
    <row r="45">
      <c r="A45" t="inlineStr">
        <is>
          <t>R1</t>
        </is>
      </c>
      <c r="B45" t="inlineStr">
        <is>
          <t>P1b</t>
        </is>
      </c>
      <c r="C45" t="inlineStr">
        <is>
          <t>Requirement 12</t>
        </is>
      </c>
      <c r="D45" t="inlineStr">
        <is>
          <t>12.1.3</t>
        </is>
      </c>
      <c r="E45" t="inlineStr">
        <is>
          <t>Although the definition of responsibilities in section 2 is otherwise sound, clause 2.5 requires role-relevant security responsibilities to be "included in job descriptions or equivalent documented role descriptions" and names neither an owner nor a date for doing it. That element remains a promise.</t>
        </is>
      </c>
      <c r="F45" t="inlineStr">
        <is>
          <t>A</t>
        </is>
      </c>
      <c r="G45" t="inlineStr">
        <is>
          <t>Minor</t>
        </is>
      </c>
    </row>
    <row r="46">
      <c r="A46" t="inlineStr">
        <is>
          <t>R1</t>
        </is>
      </c>
      <c r="B46" t="inlineStr">
        <is>
          <t>P1b</t>
        </is>
      </c>
      <c r="C46" t="inlineStr">
        <is>
          <t>Requirement 12</t>
        </is>
      </c>
      <c r="D46" t="inlineStr">
        <is>
          <t>12.10.4</t>
        </is>
      </c>
      <c r="E46" t="inlineStr">
        <is>
          <t>Incident-response training is required, with its frequency routed to a targeted risk analysis that does not yet exist, and no interim frequency is stated. Clause 11.4 therefore commits the organisation to no testable interval.</t>
        </is>
      </c>
      <c r="F46" t="inlineStr">
        <is>
          <t>A</t>
        </is>
      </c>
      <c r="G46" t="inlineStr">
        <is>
          <t>Minor</t>
        </is>
      </c>
    </row>
    <row r="47">
      <c r="A47" t="inlineStr">
        <is>
          <t>R1</t>
        </is>
      </c>
      <c r="B47" t="inlineStr">
        <is>
          <t>P1b</t>
        </is>
      </c>
      <c r="C47" t="inlineStr">
        <is>
          <t>Requirement 12</t>
        </is>
      </c>
      <c r="D47" t="inlineStr">
        <is>
          <t>12.6.3</t>
        </is>
      </c>
      <c r="E47" t="inlineStr">
        <is>
          <t>Clause 9.1 sets a stronger commitment than the sub-requirement, with documented exceptions and a defined completion date for anyone short of 100%. It names no owner for tracking beyond "Managers shall follow up", and no escalation point.</t>
        </is>
      </c>
      <c r="F47" t="inlineStr">
        <is>
          <t>A</t>
        </is>
      </c>
      <c r="G47" t="inlineStr">
        <is>
          <t>Minor</t>
        </is>
      </c>
    </row>
    <row r="48">
      <c r="A48" t="inlineStr">
        <is>
          <t>R1</t>
        </is>
      </c>
      <c r="B48" t="inlineStr">
        <is>
          <t>P2a</t>
        </is>
      </c>
      <c r="C48" t="inlineStr">
        <is>
          <t>Requirement 7</t>
        </is>
      </c>
      <c r="D48" t="inlineStr">
        <is>
          <t>7.1.2</t>
        </is>
      </c>
      <c r="E48" t="inlineStr">
        <is>
          <t>Clause 2.1.2 states that "Roles and responsibilities for performing activities in Requirement 7 are documented, assigned, and understood". The document contains no roles section and names nobody beyond the owner and the approver on the cover. Where the sub-requirement asks this instrument to make the assignment, no assignment is made.</t>
        </is>
      </c>
      <c r="F48" t="inlineStr">
        <is>
          <t>A</t>
        </is>
      </c>
      <c r="G48" t="inlineStr">
        <is>
          <t>Major</t>
        </is>
      </c>
    </row>
    <row r="49">
      <c r="A49" t="inlineStr">
        <is>
          <t>R1</t>
        </is>
      </c>
      <c r="B49" t="inlineStr">
        <is>
          <t>P2a</t>
        </is>
      </c>
      <c r="C49" t="inlineStr">
        <is>
          <t>Requirement 7</t>
        </is>
      </c>
      <c r="D49" t="inlineStr">
        <is>
          <t>7.1.1</t>
        </is>
      </c>
      <c r="E49" t="inlineStr">
        <is>
          <t>The clause reproduces the requirement as a statement of fact, in the present indicative. "All security policies and operational procedures identified in Requirement 7 are documented, kept up to date, in use, and known to all affected parties" imposes no obligation and names no action.</t>
        </is>
      </c>
      <c r="F49" t="inlineStr">
        <is>
          <t>A</t>
        </is>
      </c>
      <c r="G49" t="inlineStr">
        <is>
          <t>Minor</t>
        </is>
      </c>
    </row>
    <row r="50">
      <c r="A50" t="inlineStr">
        <is>
          <t>R1</t>
        </is>
      </c>
      <c r="B50" t="inlineStr">
        <is>
          <t>P2a</t>
        </is>
      </c>
      <c r="C50" t="inlineStr">
        <is>
          <t>Requirement 7</t>
        </is>
      </c>
      <c r="D50" t="inlineStr">
        <is>
          <t>7.2.3</t>
        </is>
      </c>
      <c r="E50" t="inlineStr">
        <is>
          <t>"Required privileges are approved by authorised personnel before access is granted". Who holds that authority is nowhere stated, so whether any given approval was validly given is not testable.</t>
        </is>
      </c>
      <c r="F50" t="inlineStr">
        <is>
          <t>A</t>
        </is>
      </c>
      <c r="G50" t="inlineStr">
        <is>
          <t>Minor</t>
        </is>
      </c>
    </row>
    <row r="51">
      <c r="A51" t="inlineStr">
        <is>
          <t>R1</t>
        </is>
      </c>
      <c r="B51" t="inlineStr">
        <is>
          <t>P2a</t>
        </is>
      </c>
      <c r="C51" t="inlineStr">
        <is>
          <t>Requirement 7</t>
        </is>
      </c>
      <c r="D51" t="inlineStr">
        <is>
          <t>7.2.4</t>
        </is>
      </c>
      <c r="E51" t="inlineStr">
        <is>
          <t>The 6-monthly review carries no owner and no record requirement, and no escalation attaches to it. "Management acknowledges that access remains appropriate" identifies no manager and requires no evidence that the acknowledgement was given.</t>
        </is>
      </c>
      <c r="F51" t="inlineStr">
        <is>
          <t>A</t>
        </is>
      </c>
      <c r="G51" t="inlineStr">
        <is>
          <t>Minor</t>
        </is>
      </c>
    </row>
    <row r="52">
      <c r="A52" t="inlineStr">
        <is>
          <t>R1</t>
        </is>
      </c>
      <c r="B52" t="inlineStr">
        <is>
          <t>P2a</t>
        </is>
      </c>
      <c r="C52" t="inlineStr">
        <is>
          <t>Requirement 7</t>
        </is>
      </c>
      <c r="D52" t="inlineStr">
        <is>
          <t>7.2.6</t>
        </is>
      </c>
      <c r="E52" t="inlineStr">
        <is>
          <t>Clause 2.6 describes controls over "repositories of stored cardholder data" as operating. No such repository exists on NorthPay systems, and the policy nowhere discloses that, so the clause protects nothing and the scope position is left to inference.</t>
        </is>
      </c>
      <c r="F52" t="inlineStr">
        <is>
          <t>A</t>
        </is>
      </c>
      <c r="G52" t="inlineStr">
        <is>
          <t>Minor</t>
        </is>
      </c>
    </row>
    <row r="53">
      <c r="A53" t="inlineStr">
        <is>
          <t>R1</t>
        </is>
      </c>
      <c r="B53" t="inlineStr">
        <is>
          <t>P2a</t>
        </is>
      </c>
      <c r="C53" t="inlineStr">
        <is>
          <t>Requirement 8</t>
        </is>
      </c>
      <c r="D53" t="inlineStr">
        <is>
          <t>8.1.2</t>
        </is>
      </c>
      <c r="E53" t="inlineStr">
        <is>
          <t>Clause 3.1.2 asserts that roles and responsibilities for Requirement 8 activities "are documented, assigned, and understood", whilst the document assigns none. The defect is the one recorded at 7.1.2, and it recurs at 10.1.2 and 12.1.3.</t>
        </is>
      </c>
      <c r="F53" t="inlineStr">
        <is>
          <t>A</t>
        </is>
      </c>
      <c r="G53" t="inlineStr">
        <is>
          <t>Major</t>
        </is>
      </c>
    </row>
    <row r="54">
      <c r="A54" t="inlineStr">
        <is>
          <t>R1</t>
        </is>
      </c>
      <c r="B54" t="inlineStr">
        <is>
          <t>P2a</t>
        </is>
      </c>
      <c r="C54" t="inlineStr">
        <is>
          <t>Requirement 8</t>
        </is>
      </c>
      <c r="D54" t="inlineStr">
        <is>
          <t>8.4.2</t>
        </is>
      </c>
      <c r="E54" t="inlineStr">
        <is>
          <t>Clause 3.4.2 states "MFA is implemented for all non-console access into the CDE" as an existing fact, where multi-factor authentication is enforced on the cloud console and the collaboration suite alone. No obligation to extend it appears in the policy, and neither an owner nor a date, so nothing is given for the organisation to remediate against.</t>
        </is>
      </c>
      <c r="F54" t="inlineStr">
        <is>
          <t>T</t>
        </is>
      </c>
      <c r="G54" t="inlineStr">
        <is>
          <t>Minor</t>
        </is>
      </c>
    </row>
    <row r="55">
      <c r="A55" t="inlineStr">
        <is>
          <t>R1</t>
        </is>
      </c>
      <c r="B55" t="inlineStr">
        <is>
          <t>P2a</t>
        </is>
      </c>
      <c r="C55" t="inlineStr">
        <is>
          <t>Requirement 8</t>
        </is>
      </c>
      <c r="D55" t="inlineStr">
        <is>
          <t>8.2.8</t>
        </is>
      </c>
      <c r="E55" t="inlineStr">
        <is>
          <t>Clause 3.2.7 states the 15-minute re-authentication rule as fact. Sessions on the order-management platform do not time out whilst the browser tab remains open, and nothing in the policy requires that to change.</t>
        </is>
      </c>
      <c r="F55" t="inlineStr">
        <is>
          <t>T</t>
        </is>
      </c>
      <c r="G55" t="inlineStr">
        <is>
          <t>Minor</t>
        </is>
      </c>
    </row>
    <row r="56">
      <c r="A56" t="inlineStr">
        <is>
          <t>R1</t>
        </is>
      </c>
      <c r="B56" t="inlineStr">
        <is>
          <t>P2a</t>
        </is>
      </c>
      <c r="C56" t="inlineStr">
        <is>
          <t>Requirement 8</t>
        </is>
      </c>
      <c r="D56" t="inlineStr">
        <is>
          <t>8.3.6</t>
        </is>
      </c>
      <c r="E56" t="inlineStr">
        <is>
          <t>Clause 3.3.5 states the 12-character minimum as fact, where the identity provider enforces 10. No clause requires the setting to be raised, and no system is named as bound.</t>
        </is>
      </c>
      <c r="F56" t="inlineStr">
        <is>
          <t>T</t>
        </is>
      </c>
      <c r="G56" t="inlineStr">
        <is>
          <t>Minor</t>
        </is>
      </c>
    </row>
    <row r="57">
      <c r="A57" t="inlineStr">
        <is>
          <t>R1</t>
        </is>
      </c>
      <c r="B57" t="inlineStr">
        <is>
          <t>P2a</t>
        </is>
      </c>
      <c r="C57" t="inlineStr">
        <is>
          <t>Requirement 8</t>
        </is>
      </c>
      <c r="D57" t="inlineStr">
        <is>
          <t>8.6.2</t>
        </is>
      </c>
      <c r="E57" t="inlineStr">
        <is>
          <t>The prohibition on hard-coded credentials is reproduced as a statement of the current position. Deployment credentials are held as repository secrets, and that arrangement is neither addressed nor required to be assessed.</t>
        </is>
      </c>
      <c r="F57" t="inlineStr">
        <is>
          <t>T</t>
        </is>
      </c>
      <c r="G57" t="inlineStr">
        <is>
          <t>Minor</t>
        </is>
      </c>
    </row>
    <row r="58">
      <c r="A58" t="inlineStr">
        <is>
          <t>R1</t>
        </is>
      </c>
      <c r="B58" t="inlineStr">
        <is>
          <t>P2a</t>
        </is>
      </c>
      <c r="C58" t="inlineStr">
        <is>
          <t>Requirement 10</t>
        </is>
      </c>
      <c r="D58" t="inlineStr">
        <is>
          <t>10.1.2</t>
        </is>
      </c>
      <c r="E58" t="inlineStr">
        <is>
          <t>Clause 4.1.2 asserts that responsibilities for Requirement 10 activities "are documented, assigned, and understood". Nobody is named as accountable for logging or for the daily review, and nobody is named as responding to a control failure.</t>
        </is>
      </c>
      <c r="F58" t="inlineStr">
        <is>
          <t>A</t>
        </is>
      </c>
      <c r="G58" t="inlineStr">
        <is>
          <t>Major</t>
        </is>
      </c>
    </row>
    <row r="59">
      <c r="A59" t="inlineStr">
        <is>
          <t>R1</t>
        </is>
      </c>
      <c r="B59" t="inlineStr">
        <is>
          <t>P2a</t>
        </is>
      </c>
      <c r="C59" t="inlineStr">
        <is>
          <t>Requirement 10</t>
        </is>
      </c>
      <c r="D59" t="inlineStr">
        <is>
          <t>10.5.1</t>
        </is>
      </c>
      <c r="E59" t="inlineStr">
        <is>
          <t>Clause 4.4.1 states 12-month retention with 3 months immediately available as the current position. The platform retains 90 days of searchable logs, older logs are deleted or overwritten, and no archive exists. No clause requires an archive or names an owner, and no date is set.</t>
        </is>
      </c>
      <c r="F59" t="inlineStr">
        <is>
          <t>T</t>
        </is>
      </c>
      <c r="G59" t="inlineStr">
        <is>
          <t>Minor</t>
        </is>
      </c>
    </row>
    <row r="60">
      <c r="A60" t="inlineStr">
        <is>
          <t>R1</t>
        </is>
      </c>
      <c r="B60" t="inlineStr">
        <is>
          <t>P2a</t>
        </is>
      </c>
      <c r="C60" t="inlineStr">
        <is>
          <t>Requirement 10</t>
        </is>
      </c>
      <c r="D60" t="inlineStr">
        <is>
          <t>10.4.1</t>
        </is>
      </c>
      <c r="E60" t="inlineStr">
        <is>
          <t>The daily review is stated with no reviewer, no rota, no automated first stage and no record requirement, whilst the only alerting route in the environment is a shared mailbox watched 08:00 to 18:00 on working days, which the policy neither names nor addresses.</t>
        </is>
      </c>
      <c r="F60" t="inlineStr">
        <is>
          <t>A, T</t>
        </is>
      </c>
      <c r="G60" t="inlineStr">
        <is>
          <t>Minor</t>
        </is>
      </c>
    </row>
    <row r="61">
      <c r="A61" t="inlineStr">
        <is>
          <t>R1</t>
        </is>
      </c>
      <c r="B61" t="inlineStr">
        <is>
          <t>P2a</t>
        </is>
      </c>
      <c r="C61" t="inlineStr">
        <is>
          <t>Requirement 10</t>
        </is>
      </c>
      <c r="D61" t="inlineStr">
        <is>
          <t>10.4.3</t>
        </is>
      </c>
      <c r="E61" t="inlineStr">
        <is>
          <t>"Exceptions and anomalies identified during the review process are addressed." No owner, no timescale, no record of the disposition and no link to incident response.</t>
        </is>
      </c>
      <c r="F61" t="inlineStr">
        <is>
          <t>A</t>
        </is>
      </c>
      <c r="G61" t="inlineStr">
        <is>
          <t>Minor</t>
        </is>
      </c>
    </row>
    <row r="62">
      <c r="A62" t="inlineStr">
        <is>
          <t>R1</t>
        </is>
      </c>
      <c r="B62" t="inlineStr">
        <is>
          <t>P2a</t>
        </is>
      </c>
      <c r="C62" t="inlineStr">
        <is>
          <t>Requirement 10</t>
        </is>
      </c>
      <c r="D62" t="inlineStr">
        <is>
          <t>10.7.3</t>
        </is>
      </c>
      <c r="E62" t="inlineStr">
        <is>
          <t>Although the 7 response steps are reproduced faithfully, "critical security control systems" is never defined for this environment and no responder is named, so both the trigger and the actor for the clause are undetermined.</t>
        </is>
      </c>
      <c r="F62" t="inlineStr">
        <is>
          <t>T</t>
        </is>
      </c>
      <c r="G62" t="inlineStr">
        <is>
          <t>Minor</t>
        </is>
      </c>
    </row>
    <row r="63">
      <c r="A63" t="inlineStr">
        <is>
          <t>R1</t>
        </is>
      </c>
      <c r="B63" t="inlineStr">
        <is>
          <t>P2a</t>
        </is>
      </c>
      <c r="C63" t="inlineStr">
        <is>
          <t>Requirement 12</t>
        </is>
      </c>
      <c r="D63" t="inlineStr">
        <is>
          <t>12.1.3</t>
        </is>
      </c>
      <c r="E63" t="inlineStr">
        <is>
          <t>Clause 5.1.3 states that "The security policy clearly defines information security roles and responsibilities for all personnel". This policy defines none. The statement is contradicted by the document which makes it, and an assessor reading the 2 together would record the sub-requirement as not in place.</t>
        </is>
      </c>
      <c r="F63" t="inlineStr">
        <is>
          <t>A</t>
        </is>
      </c>
      <c r="G63" t="inlineStr">
        <is>
          <t>Major</t>
        </is>
      </c>
    </row>
    <row r="64">
      <c r="A64" t="inlineStr">
        <is>
          <t>R1</t>
        </is>
      </c>
      <c r="B64" t="inlineStr">
        <is>
          <t>P2a</t>
        </is>
      </c>
      <c r="C64" t="inlineStr">
        <is>
          <t>Requirement 12</t>
        </is>
      </c>
      <c r="D64" t="inlineStr">
        <is>
          <t>12.1.4</t>
        </is>
      </c>
      <c r="E64" t="inlineStr">
        <is>
          <t>Clause 5.1.4 reproduces the requirement to assign responsibility for information security to a Chief Information Security Officer or other knowledgeable member of executive management, and assigns it to nobody. NorthPay has no such officer. The cover names the Chief Technology Officer as approver of the document, which is a different thing from that assignment.</t>
        </is>
      </c>
      <c r="F64" t="inlineStr">
        <is>
          <t>A</t>
        </is>
      </c>
      <c r="G64" t="inlineStr">
        <is>
          <t>Major</t>
        </is>
      </c>
    </row>
    <row r="65">
      <c r="A65" t="inlineStr">
        <is>
          <t>R1</t>
        </is>
      </c>
      <c r="B65" t="inlineStr">
        <is>
          <t>P2a</t>
        </is>
      </c>
      <c r="C65" t="inlineStr">
        <is>
          <t>Requirement 12</t>
        </is>
      </c>
      <c r="D65" t="inlineStr">
        <is>
          <t>12.10.1</t>
        </is>
      </c>
      <c r="E65" t="inlineStr">
        <is>
          <t>Clause 5.8.1 states that "An incident response plan exists and is ready to be activated" and then lists what it contains. No clause requires a plan to be written, and none names an author or sets a date, and since no security incident response plan exists, the control is asserted where it needed to be created.</t>
        </is>
      </c>
      <c r="F65" t="inlineStr">
        <is>
          <t>A</t>
        </is>
      </c>
      <c r="G65" t="inlineStr">
        <is>
          <t>Major</t>
        </is>
      </c>
    </row>
    <row r="66">
      <c r="A66" t="inlineStr">
        <is>
          <t>R1</t>
        </is>
      </c>
      <c r="B66" t="inlineStr">
        <is>
          <t>P2a</t>
        </is>
      </c>
      <c r="C66" t="inlineStr">
        <is>
          <t>Requirement 12</t>
        </is>
      </c>
      <c r="D66" t="inlineStr">
        <is>
          <t>12.3.1</t>
        </is>
      </c>
      <c r="E66" t="inlineStr">
        <is>
          <t>Although the 6 elements of the targeted risk analysis are reproduced, no owner and no date is set for performing one, and 4 other clauses (7.2.5.1, 8.6.3, 10.4.2.1 and 12.10.4.1) take their frequency from an analysis nobody is required to produce.</t>
        </is>
      </c>
      <c r="F66" t="inlineStr">
        <is>
          <t>A</t>
        </is>
      </c>
      <c r="G66" t="inlineStr">
        <is>
          <t>Minor</t>
        </is>
      </c>
    </row>
    <row r="67">
      <c r="A67" t="inlineStr">
        <is>
          <t>R1</t>
        </is>
      </c>
      <c r="B67" t="inlineStr">
        <is>
          <t>P2a</t>
        </is>
      </c>
      <c r="C67" t="inlineStr">
        <is>
          <t>Requirement 12</t>
        </is>
      </c>
      <c r="D67" t="inlineStr">
        <is>
          <t>12.8.1</t>
        </is>
      </c>
      <c r="E67" t="inlineStr">
        <is>
          <t>The supplier list is stated as maintained, whilst no owner and no review interval attaches to it, and the suppliers already touching the environment are nowhere referred to. The same applies to the written agreements at 5.7.2 and the responsibility matrix at 5.7.5.</t>
        </is>
      </c>
      <c r="F67" t="inlineStr">
        <is>
          <t>A</t>
        </is>
      </c>
      <c r="G67" t="inlineStr">
        <is>
          <t>Minor</t>
        </is>
      </c>
    </row>
    <row r="68">
      <c r="A68" t="inlineStr">
        <is>
          <t>R1</t>
        </is>
      </c>
      <c r="B68" t="inlineStr">
        <is>
          <t>P2a</t>
        </is>
      </c>
      <c r="C68" t="inlineStr">
        <is>
          <t>Requirement 12</t>
        </is>
      </c>
      <c r="D68" t="inlineStr">
        <is>
          <t>12.6.3</t>
        </is>
      </c>
      <c r="E68" t="inlineStr">
        <is>
          <t>Training on hire and every 12 months, with annual acknowledgement, is stated as happening. No owner, no completion tracking, no escalation and no consequence, and the shortfall in the current completion rate is not addressed.</t>
        </is>
      </c>
      <c r="F68" t="inlineStr">
        <is>
          <t>A</t>
        </is>
      </c>
      <c r="G68" t="inlineStr">
        <is>
          <t>Minor</t>
        </is>
      </c>
    </row>
    <row r="69">
      <c r="A69" t="inlineStr">
        <is>
          <t>R1</t>
        </is>
      </c>
      <c r="B69" t="inlineStr">
        <is>
          <t>P2b</t>
        </is>
      </c>
      <c r="C69" t="inlineStr">
        <is>
          <t>Requirement 7</t>
        </is>
      </c>
      <c r="D69" t="inlineStr">
        <is>
          <t>7.1.1</t>
        </is>
      </c>
      <c r="E69" t="inlineStr">
        <is>
          <t>No clause requires the security policies and operational procedures supporting Requirement 7 to be documented, kept up to date, in use and known to all affected parties. The document control block covers this policy alone, and section 8 lists the related documents whilst imposing nothing about them.</t>
        </is>
      </c>
      <c r="F69" t="inlineStr">
        <is>
          <t>A</t>
        </is>
      </c>
      <c r="G69" t="inlineStr">
        <is>
          <t>Minor</t>
        </is>
      </c>
    </row>
    <row r="70">
      <c r="A70" t="inlineStr">
        <is>
          <t>R1</t>
        </is>
      </c>
      <c r="B70" t="inlineStr">
        <is>
          <t>P2b</t>
        </is>
      </c>
      <c r="C70" t="inlineStr">
        <is>
          <t>Requirement 7</t>
        </is>
      </c>
      <c r="D70" t="inlineStr">
        <is>
          <t>7.2.1</t>
        </is>
      </c>
      <c r="E70" t="inlineStr">
        <is>
          <t>No access control model is defined. Clause 3.1 states least privilege and job classification as principles, whilst the groups through which access is actually granted go undescribed, and no role or group structure appears anywhere in the policy.</t>
        </is>
      </c>
      <c r="F70" t="inlineStr">
        <is>
          <t>A</t>
        </is>
      </c>
      <c r="G70" t="inlineStr">
        <is>
          <t>Minor</t>
        </is>
      </c>
    </row>
    <row r="71">
      <c r="A71" t="inlineStr">
        <is>
          <t>R1</t>
        </is>
      </c>
      <c r="B71" t="inlineStr">
        <is>
          <t>P2b</t>
        </is>
      </c>
      <c r="C71" t="inlineStr">
        <is>
          <t>Requirement 7</t>
        </is>
      </c>
      <c r="D71" t="inlineStr">
        <is>
          <t>7.2.5.1</t>
        </is>
      </c>
      <c r="E71" t="inlineStr">
        <is>
          <t>Clause 3.4 requires the periodic review and the management acknowledgement, and omits the element requiring inappropriate access found by the review to be addressed. That element is stated for user accounts at 3.3 and dropped here.</t>
        </is>
      </c>
      <c r="F71" t="inlineStr">
        <is>
          <t>A</t>
        </is>
      </c>
      <c r="G71" t="inlineStr">
        <is>
          <t>Minor</t>
        </is>
      </c>
    </row>
    <row r="72">
      <c r="A72" t="inlineStr">
        <is>
          <t>R1</t>
        </is>
      </c>
      <c r="B72" t="inlineStr">
        <is>
          <t>P2b</t>
        </is>
      </c>
      <c r="C72" t="inlineStr">
        <is>
          <t>Requirement 7</t>
        </is>
      </c>
      <c r="D72" t="inlineStr">
        <is>
          <t>7.2.6</t>
        </is>
      </c>
      <c r="E72" t="inlineStr">
        <is>
          <t>Clause 3.5 extends the control to "any repository that holds cardholder data (or data that could lead to it)". The second category is not defined, so the boundary of the control is not testable, and on the scenario the clause could be read to cover the order-management database.</t>
        </is>
      </c>
      <c r="F72" t="inlineStr">
        <is>
          <t>A</t>
        </is>
      </c>
      <c r="G72" t="inlineStr">
        <is>
          <t>Minor</t>
        </is>
      </c>
    </row>
    <row r="73">
      <c r="A73" t="inlineStr">
        <is>
          <t>R1</t>
        </is>
      </c>
      <c r="B73" t="inlineStr">
        <is>
          <t>P2b</t>
        </is>
      </c>
      <c r="C73" t="inlineStr">
        <is>
          <t>Requirement 7</t>
        </is>
      </c>
      <c r="D73" t="inlineStr">
        <is>
          <t>7.2.4</t>
        </is>
      </c>
      <c r="E73" t="inlineStr">
        <is>
          <t>Although the 6-monthly review names its participants, no single holder of completion is named, and neither escalation nor consequence is stated where a review is not carried out timely.</t>
        </is>
      </c>
      <c r="F73" t="inlineStr">
        <is>
          <t>A</t>
        </is>
      </c>
      <c r="G73" t="inlineStr">
        <is>
          <t>Minor</t>
        </is>
      </c>
    </row>
    <row r="74">
      <c r="A74" t="inlineStr">
        <is>
          <t>R1</t>
        </is>
      </c>
      <c r="B74" t="inlineStr">
        <is>
          <t>P2b</t>
        </is>
      </c>
      <c r="C74" t="inlineStr">
        <is>
          <t>Requirement 8</t>
        </is>
      </c>
      <c r="D74" t="inlineStr">
        <is>
          <t>8.3.3</t>
        </is>
      </c>
      <c r="E74" t="inlineStr">
        <is>
          <t>Absent. No clause requires a user's identity to be verified before an authentication factor is modified. Clause 4.2 requires prior documented approval for changes to authentication factors, which discharges 8.2.4 and is a different control, and the service-desk reset path is left unaddressed.</t>
        </is>
      </c>
      <c r="F74" t="inlineStr">
        <is>
          <t>T</t>
        </is>
      </c>
      <c r="G74" t="inlineStr">
        <is>
          <t>Major</t>
        </is>
      </c>
    </row>
    <row r="75">
      <c r="A75" t="inlineStr">
        <is>
          <t>R1</t>
        </is>
      </c>
      <c r="B75" t="inlineStr">
        <is>
          <t>P2b</t>
        </is>
      </c>
      <c r="C75" t="inlineStr">
        <is>
          <t>Requirement 8</t>
        </is>
      </c>
      <c r="D75" t="inlineStr">
        <is>
          <t>8.2.5</t>
        </is>
      </c>
      <c r="E75" t="inlineStr">
        <is>
          <t>"Access for terminated users is revoked immediately on the last working day (or sooner if the circumstances require)." Immediately and on the last working day are 2 different commitments, and the sentence makes the weaker of them the default, where the standard requires immediate revocation.</t>
        </is>
      </c>
      <c r="F75" t="inlineStr">
        <is>
          <t>T</t>
        </is>
      </c>
      <c r="G75" t="inlineStr">
        <is>
          <t>Minor</t>
        </is>
      </c>
    </row>
    <row r="76">
      <c r="A76" t="inlineStr">
        <is>
          <t>R1</t>
        </is>
      </c>
      <c r="B76" t="inlineStr">
        <is>
          <t>P2b</t>
        </is>
      </c>
      <c r="C76" t="inlineStr">
        <is>
          <t>Requirement 8</t>
        </is>
      </c>
      <c r="D76" t="inlineStr">
        <is>
          <t>8.6.1</t>
        </is>
      </c>
      <c r="E76" t="inlineStr">
        <is>
          <t>Clause 4.11 omits 2 elements, the documented business justification for interactive use, and the confirmation of the individual user's identity before access to the account is granted.</t>
        </is>
      </c>
      <c r="F76" t="inlineStr">
        <is>
          <t>T</t>
        </is>
      </c>
      <c r="G76" t="inlineStr">
        <is>
          <t>Minor</t>
        </is>
      </c>
    </row>
    <row r="77">
      <c r="A77" t="inlineStr">
        <is>
          <t>R1</t>
        </is>
      </c>
      <c r="B77" t="inlineStr">
        <is>
          <t>P2b</t>
        </is>
      </c>
      <c r="C77" t="inlineStr">
        <is>
          <t>Requirement 8</t>
        </is>
      </c>
      <c r="D77" t="inlineStr">
        <is>
          <t>8.6.3</t>
        </is>
      </c>
      <c r="E77" t="inlineStr">
        <is>
          <t>Although clause 4.11 requires periodic and on-suspicion changes, the complexity element is omitted, that the credential is constructed with complexity appropriate to how often it is changed.</t>
        </is>
      </c>
      <c r="F77" t="inlineStr">
        <is>
          <t>T</t>
        </is>
      </c>
      <c r="G77" t="inlineStr">
        <is>
          <t>Minor</t>
        </is>
      </c>
    </row>
    <row r="78">
      <c r="A78" t="inlineStr">
        <is>
          <t>R1</t>
        </is>
      </c>
      <c r="B78" t="inlineStr">
        <is>
          <t>P2b</t>
        </is>
      </c>
      <c r="C78" t="inlineStr">
        <is>
          <t>Requirement 8</t>
        </is>
      </c>
      <c r="D78" t="inlineStr">
        <is>
          <t>8.3.8</t>
        </is>
      </c>
      <c r="E78" t="inlineStr">
        <is>
          <t>Clause 4.12 covers selection, protection, reuse and reporting, and omits the instruction to change a password or passphrase where compromise is suspected or known. Nothing requires the guidance to exist as a documented and communicated artefact either, users being simply "given" it.</t>
        </is>
      </c>
      <c r="F78" t="inlineStr">
        <is>
          <t>A</t>
        </is>
      </c>
      <c r="G78" t="inlineStr">
        <is>
          <t>Minor</t>
        </is>
      </c>
    </row>
    <row r="79">
      <c r="A79" t="inlineStr">
        <is>
          <t>R1</t>
        </is>
      </c>
      <c r="B79" t="inlineStr">
        <is>
          <t>P2b</t>
        </is>
      </c>
      <c r="C79" t="inlineStr">
        <is>
          <t>Requirement 8</t>
        </is>
      </c>
      <c r="D79" t="inlineStr">
        <is>
          <t>8.2.2</t>
        </is>
      </c>
      <c r="E79" t="inlineStr">
        <is>
          <t>Clause 4.1 omits confirmation of the individual's identity before access to a shared account is granted, and names no approver beyond "management", so the exception is not testable against any authority.</t>
        </is>
      </c>
      <c r="F79" t="inlineStr">
        <is>
          <t>T</t>
        </is>
      </c>
      <c r="G79" t="inlineStr">
        <is>
          <t>Minor</t>
        </is>
      </c>
    </row>
    <row r="80">
      <c r="A80" t="inlineStr">
        <is>
          <t>R1</t>
        </is>
      </c>
      <c r="B80" t="inlineStr">
        <is>
          <t>P2b</t>
        </is>
      </c>
      <c r="C80" t="inlineStr">
        <is>
          <t>Requirement 10</t>
        </is>
      </c>
      <c r="D80" t="inlineStr">
        <is>
          <t>10.7.3</t>
        </is>
      </c>
      <c r="E80" t="inlineStr">
        <is>
          <t>Clause 5.7 omits 1 element, in that the cause must be recorded and preventive measures implemented, whilst the required remediation is not required to be documented.</t>
        </is>
      </c>
      <c r="F80" t="inlineStr">
        <is>
          <t>T</t>
        </is>
      </c>
      <c r="G80" t="inlineStr">
        <is>
          <t>Minor</t>
        </is>
      </c>
    </row>
    <row r="81">
      <c r="A81" t="inlineStr">
        <is>
          <t>R1</t>
        </is>
      </c>
      <c r="B81" t="inlineStr">
        <is>
          <t>P2b</t>
        </is>
      </c>
      <c r="C81" t="inlineStr">
        <is>
          <t>Requirement 10</t>
        </is>
      </c>
      <c r="D81" t="inlineStr">
        <is>
          <t>10.1.1</t>
        </is>
      </c>
      <c r="E81" t="inlineStr">
        <is>
          <t>No clause requires the logging and monitoring procedures themselves to be documented, kept current, in use and known to affected parties. Section 8 lists them as related documents and imposes nothing on them.</t>
        </is>
      </c>
      <c r="F81" t="inlineStr">
        <is>
          <t>A</t>
        </is>
      </c>
      <c r="G81" t="inlineStr">
        <is>
          <t>Minor</t>
        </is>
      </c>
    </row>
    <row r="82">
      <c r="A82" t="inlineStr">
        <is>
          <t>R1</t>
        </is>
      </c>
      <c r="B82" t="inlineStr">
        <is>
          <t>P2b</t>
        </is>
      </c>
      <c r="C82" t="inlineStr">
        <is>
          <t>Requirement 10</t>
        </is>
      </c>
      <c r="D82" t="inlineStr">
        <is>
          <t>10.4.1</t>
        </is>
      </c>
      <c r="E82" t="inlineStr">
        <is>
          <t>No named reviewer attaches to the daily review, no record of it is required, and no allowance is made for an automated first stage, in an environment whose only alerting route is a shared mailbox watched 08:00 to 18:00 on working days, a route the policy nowhere names.</t>
        </is>
      </c>
      <c r="F82" t="inlineStr">
        <is>
          <t>A, T</t>
        </is>
      </c>
      <c r="G82" t="inlineStr">
        <is>
          <t>Minor</t>
        </is>
      </c>
    </row>
    <row r="83">
      <c r="A83" t="inlineStr">
        <is>
          <t>R1</t>
        </is>
      </c>
      <c r="B83" t="inlineStr">
        <is>
          <t>P2b</t>
        </is>
      </c>
      <c r="C83" t="inlineStr">
        <is>
          <t>Requirement 10</t>
        </is>
      </c>
      <c r="D83" t="inlineStr">
        <is>
          <t>10.5.1</t>
        </is>
      </c>
      <c r="E83" t="inlineStr">
        <is>
          <t>The undertaking to close the retention gap sits inside a parenthesis, "Current SIEM retention of 90 days will be extended or supplemented by offline archive to meet this requirement", carrying no owner and no date, in a document which sets a 3-month deadline 2 paragraphs later.</t>
        </is>
      </c>
      <c r="F83" t="inlineStr">
        <is>
          <t>T</t>
        </is>
      </c>
      <c r="G83" t="inlineStr">
        <is>
          <t>Minor</t>
        </is>
      </c>
    </row>
    <row r="84">
      <c r="A84" t="inlineStr">
        <is>
          <t>R1</t>
        </is>
      </c>
      <c r="B84" t="inlineStr">
        <is>
          <t>P2b</t>
        </is>
      </c>
      <c r="C84" t="inlineStr">
        <is>
          <t>Requirement 10</t>
        </is>
      </c>
      <c r="D84" t="inlineStr">
        <is>
          <t>10.3.1</t>
        </is>
      </c>
      <c r="E84" t="inlineStr">
        <is>
          <t>Although read access is limited to those with a job-related need, nobody owns the entitlement list, and it is not drawn into the 6-monthly access review at 3.3.</t>
        </is>
      </c>
      <c r="F84" t="inlineStr">
        <is>
          <t>T</t>
        </is>
      </c>
      <c r="G84" t="inlineStr">
        <is>
          <t>Minor</t>
        </is>
      </c>
    </row>
    <row r="85">
      <c r="A85" t="inlineStr">
        <is>
          <t>R1</t>
        </is>
      </c>
      <c r="B85" t="inlineStr">
        <is>
          <t>P2b</t>
        </is>
      </c>
      <c r="C85" t="inlineStr">
        <is>
          <t>Requirement 12</t>
        </is>
      </c>
      <c r="D85" t="inlineStr">
        <is>
          <t>12.3.3</t>
        </is>
      </c>
      <c r="E85" t="inlineStr">
        <is>
          <t>Absent. No inventory of cipher suites and protocols, no annual review of one, no monitoring of industry trends and no plan for anticipated cryptographic change. On the scenario no such inventory exists and certificate expiry is tracked on 1 engineer's spreadsheet, which is the gap the sub-requirement exists to close.</t>
        </is>
      </c>
      <c r="F85" t="inlineStr">
        <is>
          <t>A, T</t>
        </is>
      </c>
      <c r="G85" t="inlineStr">
        <is>
          <t>Major</t>
        </is>
      </c>
    </row>
    <row r="86">
      <c r="A86" t="inlineStr">
        <is>
          <t>R1</t>
        </is>
      </c>
      <c r="B86" t="inlineStr">
        <is>
          <t>P2b</t>
        </is>
      </c>
      <c r="C86" t="inlineStr">
        <is>
          <t>Requirement 12</t>
        </is>
      </c>
      <c r="D86" t="inlineStr">
        <is>
          <t>12.3.4</t>
        </is>
      </c>
      <c r="E86" t="inlineStr">
        <is>
          <t>Absent. No annual review of hardware and software technologies, no analysis of continued vendor support, no end-of-life tracking and no remediation plan for outdated technology approved by senior management.</t>
        </is>
      </c>
      <c r="F86" t="inlineStr">
        <is>
          <t>A</t>
        </is>
      </c>
      <c r="G86" t="inlineStr">
        <is>
          <t>Major</t>
        </is>
      </c>
    </row>
    <row r="87">
      <c r="A87" t="inlineStr">
        <is>
          <t>R1</t>
        </is>
      </c>
      <c r="B87" t="inlineStr">
        <is>
          <t>P2b</t>
        </is>
      </c>
      <c r="C87" t="inlineStr">
        <is>
          <t>Requirement 12</t>
        </is>
      </c>
      <c r="D87" t="inlineStr">
        <is>
          <t>12.6.2</t>
        </is>
      </c>
      <c r="E87" t="inlineStr">
        <is>
          <t>Absent. Nothing requires the security awareness programme to be reviewed at least every 12 months, or updated against new threats. Clause 6.5 sets the training frequency and the content, and says nothing about the programme itself.</t>
        </is>
      </c>
      <c r="F87" t="inlineStr">
        <is>
          <t>A</t>
        </is>
      </c>
      <c r="G87" t="inlineStr">
        <is>
          <t>Major</t>
        </is>
      </c>
    </row>
    <row r="88">
      <c r="A88" t="inlineStr">
        <is>
          <t>R1</t>
        </is>
      </c>
      <c r="B88" t="inlineStr">
        <is>
          <t>P2b</t>
        </is>
      </c>
      <c r="C88" t="inlineStr">
        <is>
          <t>Requirement 12</t>
        </is>
      </c>
      <c r="D88" t="inlineStr">
        <is>
          <t>12.3.2</t>
        </is>
      </c>
      <c r="E88" t="inlineStr">
        <is>
          <t>Absent. The customized approach, and the targeted risk analysis it requires, go unmentioned. The defined approach is nowhere expressly adopted, and no conditions are set for departing from it.</t>
        </is>
      </c>
      <c r="F88" t="inlineStr">
        <is>
          <t>A</t>
        </is>
      </c>
      <c r="G88" t="inlineStr">
        <is>
          <t>Major</t>
        </is>
      </c>
    </row>
    <row r="89">
      <c r="A89" t="inlineStr">
        <is>
          <t>R1</t>
        </is>
      </c>
      <c r="B89" t="inlineStr">
        <is>
          <t>P2b</t>
        </is>
      </c>
      <c r="C89" t="inlineStr">
        <is>
          <t>Requirement 12</t>
        </is>
      </c>
      <c r="D89" t="inlineStr">
        <is>
          <t>12.10.5</t>
        </is>
      </c>
      <c r="E89" t="inlineStr">
        <is>
          <t>Clause 6.8 states only that "The plan includes monitoring and response to alerts from security systems", and none of the 5 categories is named. Where NorthPay serves its own checkout page, the change-and-tamper-detection mechanism for payment pages is the omission which matters most.</t>
        </is>
      </c>
      <c r="F89" t="inlineStr">
        <is>
          <t>A, T</t>
        </is>
      </c>
      <c r="G89" t="inlineStr">
        <is>
          <t>Major</t>
        </is>
      </c>
    </row>
    <row r="90">
      <c r="A90" t="inlineStr">
        <is>
          <t>R1</t>
        </is>
      </c>
      <c r="B90" t="inlineStr">
        <is>
          <t>P2b</t>
        </is>
      </c>
      <c r="C90" t="inlineStr">
        <is>
          <t>Requirement 12</t>
        </is>
      </c>
      <c r="D90" t="inlineStr">
        <is>
          <t>12.10.7</t>
        </is>
      </c>
      <c r="E90" t="inlineStr">
        <is>
          <t>Clause 6.8 omits the determination of whether sensitive authentication data is stored alongside any PAN found where it is not expected.</t>
        </is>
      </c>
      <c r="F90" t="inlineStr">
        <is>
          <t>A</t>
        </is>
      </c>
      <c r="G90" t="inlineStr">
        <is>
          <t>Minor</t>
        </is>
      </c>
    </row>
    <row r="91">
      <c r="A91" t="inlineStr">
        <is>
          <t>R1</t>
        </is>
      </c>
      <c r="B91" t="inlineStr">
        <is>
          <t>P2b</t>
        </is>
      </c>
      <c r="C91" t="inlineStr">
        <is>
          <t>Requirement 12</t>
        </is>
      </c>
      <c r="D91" t="inlineStr">
        <is>
          <t>12.2.1</t>
        </is>
      </c>
      <c r="E91" t="inlineStr">
        <is>
          <t>"This restriction is enforced by conditional-access policy." It is enforced by convention, and recording a control as already in force removes the obligation to build it. The explicit approval by authorised parties, and the list of approved products, are also not stated as elements of the acceptable-use rules.</t>
        </is>
      </c>
      <c r="F91" t="inlineStr">
        <is>
          <t>T, A</t>
        </is>
      </c>
      <c r="G91" t="inlineStr">
        <is>
          <t>Minor</t>
        </is>
      </c>
    </row>
    <row r="92">
      <c r="A92" t="inlineStr">
        <is>
          <t>R1</t>
        </is>
      </c>
      <c r="B92" t="inlineStr">
        <is>
          <t>P2b</t>
        </is>
      </c>
      <c r="C92" t="inlineStr">
        <is>
          <t>Requirement 12</t>
        </is>
      </c>
      <c r="D92" t="inlineStr">
        <is>
          <t>12.5.2</t>
        </is>
      </c>
      <c r="E92" t="inlineStr">
        <is>
          <t>Clause 6.4's scope validation omits the updating of data-flow diagrams, and the final confirmation that all identified flows, data, components, segmentation controls and third-party connections are included in scope.</t>
        </is>
      </c>
      <c r="F92" t="inlineStr">
        <is>
          <t>A</t>
        </is>
      </c>
      <c r="G92" t="inlineStr">
        <is>
          <t>Minor</t>
        </is>
      </c>
    </row>
    <row r="93">
      <c r="A93" t="inlineStr">
        <is>
          <t>R2</t>
        </is>
      </c>
      <c r="B93" t="inlineStr">
        <is>
          <t>P1a</t>
        </is>
      </c>
      <c r="C93" t="inlineStr">
        <is>
          <t>Requirement 7</t>
        </is>
      </c>
      <c r="D93" t="inlineStr">
        <is>
          <t>7.1.2</t>
        </is>
      </c>
      <c r="E93" t="inlineStr">
        <is>
          <t>Nobody owns the six-monthly access review. Section 1.3 says specific operational responsibilities for access control “shall be documented, assigned and communicated” which pushes the assignment into a document that does not yet exist. Nothing addresses “understood” at all, so I have nothing to test.</t>
        </is>
      </c>
      <c r="F93" t="inlineStr">
        <is>
          <t>A</t>
        </is>
      </c>
      <c r="G93" t="inlineStr">
        <is>
          <t>Minor</t>
        </is>
      </c>
    </row>
    <row r="94">
      <c r="A94" t="inlineStr">
        <is>
          <t>R2</t>
        </is>
      </c>
      <c r="B94" t="inlineStr">
        <is>
          <t>P1a</t>
        </is>
      </c>
      <c r="C94" t="inlineStr">
        <is>
          <t>Requirement 7</t>
        </is>
      </c>
      <c r="D94" t="inlineStr">
        <is>
          <t>7.2.3</t>
        </is>
      </c>
      <c r="E94" t="inlineStr">
        <is>
          <t>The approver is “authorized personnel” (2.2). Who that is the policy never says, so neither I nor an assessor can test whether a given approval was valid.</t>
        </is>
      </c>
      <c r="F94" t="inlineStr">
        <is>
          <t>A</t>
        </is>
      </c>
      <c r="G94" t="inlineStr">
        <is>
          <t>Minor</t>
        </is>
      </c>
    </row>
    <row r="95">
      <c r="A95" t="inlineStr">
        <is>
          <t>R2</t>
        </is>
      </c>
      <c r="B95" t="inlineStr">
        <is>
          <t>P1a</t>
        </is>
      </c>
      <c r="C95" t="inlineStr">
        <is>
          <t>Requirement 7</t>
        </is>
      </c>
      <c r="D95" t="inlineStr">
        <is>
          <t>7.2.4</t>
        </is>
      </c>
      <c r="E95" t="inlineStr">
        <is>
          <t>“NorthPay” carries the review obligation at 2.3. No reviewer named. No form of management acknowledgement set out either.</t>
        </is>
      </c>
      <c r="F95" t="inlineStr">
        <is>
          <t>A</t>
        </is>
      </c>
      <c r="G95" t="inlineStr">
        <is>
          <t>Minor</t>
        </is>
      </c>
    </row>
    <row r="96">
      <c r="A96" t="inlineStr">
        <is>
          <t>R2</t>
        </is>
      </c>
      <c r="B96" t="inlineStr">
        <is>
          <t>P1a</t>
        </is>
      </c>
      <c r="C96" t="inlineStr">
        <is>
          <t>Requirement 7</t>
        </is>
      </c>
      <c r="D96" t="inlineStr">
        <is>
          <t>7.2.6</t>
        </is>
      </c>
      <c r="E96" t="inlineStr">
        <is>
          <t>Dormant as written. The control only bites if a repository of stored cardholder data exists “within scope” (2.5) and nothing puts anyone under a duty to go looking for one.</t>
        </is>
      </c>
      <c r="F96" t="inlineStr">
        <is>
          <t>T, A</t>
        </is>
      </c>
      <c r="G96" t="inlineStr">
        <is>
          <t>Minor</t>
        </is>
      </c>
    </row>
    <row r="97">
      <c r="A97" t="inlineStr">
        <is>
          <t>R2</t>
        </is>
      </c>
      <c r="B97" t="inlineStr">
        <is>
          <t>P1a</t>
        </is>
      </c>
      <c r="C97" t="inlineStr">
        <is>
          <t>Requirement 8</t>
        </is>
      </c>
      <c r="D97" t="inlineStr">
        <is>
          <t>8.1.2</t>
        </is>
      </c>
      <c r="E97" t="inlineStr">
        <is>
          <t>The 7.1.2 problem again. Section 1.3 promises that responsibilities for identity management and authentication will be documented and assigned. Nothing is assigned in the policy itself so I am back at the same gap.</t>
        </is>
      </c>
      <c r="F97" t="inlineStr">
        <is>
          <t>A</t>
        </is>
      </c>
      <c r="G97" t="inlineStr">
        <is>
          <t>Minor</t>
        </is>
      </c>
    </row>
    <row r="98">
      <c r="A98" t="inlineStr">
        <is>
          <t>R2</t>
        </is>
      </c>
      <c r="B98" t="inlineStr">
        <is>
          <t>P1a</t>
        </is>
      </c>
      <c r="C98" t="inlineStr">
        <is>
          <t>Requirement 8</t>
        </is>
      </c>
      <c r="D98" t="inlineStr">
        <is>
          <t>8.2.2</t>
        </is>
      </c>
      <c r="E98" t="inlineStr">
        <is>
          <t>“management” approves the exception at 3.2. No role behind the word. No ceiling on duration beyond “the time required”.</t>
        </is>
      </c>
      <c r="F98" t="inlineStr">
        <is>
          <t>A</t>
        </is>
      </c>
      <c r="G98" t="inlineStr">
        <is>
          <t>Minor</t>
        </is>
      </c>
    </row>
    <row r="99">
      <c r="A99" t="inlineStr">
        <is>
          <t>R2</t>
        </is>
      </c>
      <c r="B99" t="inlineStr">
        <is>
          <t>P1a</t>
        </is>
      </c>
      <c r="C99" t="inlineStr">
        <is>
          <t>Requirement 8</t>
        </is>
      </c>
      <c r="D99" t="inlineStr">
        <is>
          <t>8.3.6</t>
        </is>
      </c>
      <c r="E99" t="inlineStr">
        <is>
          <t>Section 3.8 requires systems on a 10-character minimum to be changed “wherever the system supports it”. Nobody owns it and there’s no date on it. In practice the identity provider setting decides the outcome and that is the setting I would test.</t>
        </is>
      </c>
      <c r="F99" t="inlineStr">
        <is>
          <t>T</t>
        </is>
      </c>
      <c r="G99" t="inlineStr">
        <is>
          <t>Minor</t>
        </is>
      </c>
    </row>
    <row r="100">
      <c r="A100" t="inlineStr">
        <is>
          <t>R2</t>
        </is>
      </c>
      <c r="B100" t="inlineStr">
        <is>
          <t>P1a</t>
        </is>
      </c>
      <c r="C100" t="inlineStr">
        <is>
          <t>Requirement 8</t>
        </is>
      </c>
      <c r="D100" t="inlineStr">
        <is>
          <t>8.4.2</t>
        </is>
      </c>
      <c r="E100" t="inlineStr">
        <is>
          <t>Section 3.11 pushes multi-factor authentication past the AWS console and collaboration suite then sets no implementation date and names nobody. The order management platform still doesn’t have it. Nor does the merchant portal at the payment service provider or the helpdesk platform.</t>
        </is>
      </c>
      <c r="F100" t="inlineStr">
        <is>
          <t>T</t>
        </is>
      </c>
      <c r="G100" t="inlineStr">
        <is>
          <t>Minor</t>
        </is>
      </c>
    </row>
    <row r="101">
      <c r="A101" t="inlineStr">
        <is>
          <t>R2</t>
        </is>
      </c>
      <c r="B101" t="inlineStr">
        <is>
          <t>P1a</t>
        </is>
      </c>
      <c r="C101" t="inlineStr">
        <is>
          <t>Requirement 10</t>
        </is>
      </c>
      <c r="D101" t="inlineStr">
        <is>
          <t>10.4.1</t>
        </is>
      </c>
      <c r="E101" t="inlineStr">
        <is>
          <t>Section 4.3 requires the review every day “irrespective of normal office hours”. No reviewer is named. There’s no rota either, and nothing says how an out-of-hours event reaches anyone. This is the clause I’d challenge first in this policy.</t>
        </is>
      </c>
      <c r="F101" t="inlineStr">
        <is>
          <t>A, T</t>
        </is>
      </c>
      <c r="G101" t="inlineStr">
        <is>
          <t>Minor</t>
        </is>
      </c>
    </row>
    <row r="102">
      <c r="A102" t="inlineStr">
        <is>
          <t>R2</t>
        </is>
      </c>
      <c r="B102" t="inlineStr">
        <is>
          <t>P1a</t>
        </is>
      </c>
      <c r="C102" t="inlineStr">
        <is>
          <t>Requirement 10</t>
        </is>
      </c>
      <c r="D102" t="inlineStr">
        <is>
          <t>10.4.2</t>
        </is>
      </c>
      <c r="E102" t="inlineStr">
        <is>
          <t>The SaaS administrator activity log has to be “included in the applicable review arrangements” (4.4). Whose arrangements we’re not told. And a log that never reaches the security information and event management platform has no obvious way of reaching a reviewer either.</t>
        </is>
      </c>
      <c r="F102" t="inlineStr">
        <is>
          <t>T, A</t>
        </is>
      </c>
      <c r="G102" t="inlineStr">
        <is>
          <t>Minor</t>
        </is>
      </c>
    </row>
    <row r="103">
      <c r="A103" t="inlineStr">
        <is>
          <t>R2</t>
        </is>
      </c>
      <c r="B103" t="inlineStr">
        <is>
          <t>P1a</t>
        </is>
      </c>
      <c r="C103" t="inlineStr">
        <is>
          <t>Requirement 10</t>
        </is>
      </c>
      <c r="D103" t="inlineStr">
        <is>
          <t>10.5.1</t>
        </is>
      </c>
      <c r="E103" t="inlineStr">
        <is>
          <t>Section 4.6 calls for archival beyond the 90-day searchable period. It doesn’t say where the archive lives or who builds it and no date attaches to the point at which a 12-month history exists.</t>
        </is>
      </c>
      <c r="F103" t="inlineStr">
        <is>
          <t>T</t>
        </is>
      </c>
      <c r="G103" t="inlineStr">
        <is>
          <t>Minor</t>
        </is>
      </c>
    </row>
    <row r="104">
      <c r="A104" t="inlineStr">
        <is>
          <t>R2</t>
        </is>
      </c>
      <c r="B104" t="inlineStr">
        <is>
          <t>P1a</t>
        </is>
      </c>
      <c r="C104" t="inlineStr">
        <is>
          <t>Requirement 10</t>
        </is>
      </c>
      <c r="D104" t="inlineStr">
        <is>
          <t>10.1.2</t>
        </is>
      </c>
      <c r="E104" t="inlineStr">
        <is>
          <t>Section 4.1 says responsibilities “shall be assigned and understood”. None is assigned anywhere in the document.</t>
        </is>
      </c>
      <c r="F104" t="inlineStr">
        <is>
          <t>A</t>
        </is>
      </c>
      <c r="G104" t="inlineStr">
        <is>
          <t>Minor</t>
        </is>
      </c>
    </row>
    <row r="105">
      <c r="A105" t="inlineStr">
        <is>
          <t>R2</t>
        </is>
      </c>
      <c r="B105" t="inlineStr">
        <is>
          <t>P1a</t>
        </is>
      </c>
      <c r="C105" t="inlineStr">
        <is>
          <t>Requirement 12</t>
        </is>
      </c>
      <c r="D105" t="inlineStr">
        <is>
          <t>12.10.3</t>
        </is>
      </c>
      <c r="E105" t="inlineStr">
        <is>
          <t>An obligation this heavy has to name people. Section 8.3 asks for designated 24/7 responders and cover outside shared-mailbox hours, then supplies no rota, names no primary or backup and gives no contact route.</t>
        </is>
      </c>
      <c r="F105" t="inlineStr">
        <is>
          <t>A</t>
        </is>
      </c>
      <c r="G105" t="inlineStr">
        <is>
          <t>Minor</t>
        </is>
      </c>
    </row>
    <row r="106">
      <c r="A106" t="inlineStr">
        <is>
          <t>R2</t>
        </is>
      </c>
      <c r="B106" t="inlineStr">
        <is>
          <t>P1a</t>
        </is>
      </c>
      <c r="C106" t="inlineStr">
        <is>
          <t>Requirement 12</t>
        </is>
      </c>
      <c r="D106" t="inlineStr">
        <is>
          <t>12.1.3</t>
        </is>
      </c>
      <c r="E106" t="inlineStr">
        <is>
          <t>Section 1.3 pushes the definition of specific responsibilities into a later document. So the policy doesn’t itself define information security roles for all personnel and I could not tell a member of staff what theirs is.</t>
        </is>
      </c>
      <c r="F106" t="inlineStr">
        <is>
          <t>A</t>
        </is>
      </c>
      <c r="G106" t="inlineStr">
        <is>
          <t>Minor</t>
        </is>
      </c>
    </row>
    <row r="107">
      <c r="A107" t="inlineStr">
        <is>
          <t>R2</t>
        </is>
      </c>
      <c r="B107" t="inlineStr">
        <is>
          <t>P1a</t>
        </is>
      </c>
      <c r="C107" t="inlineStr">
        <is>
          <t>Requirement 12</t>
        </is>
      </c>
      <c r="D107" t="inlineStr">
        <is>
          <t>12.3.1</t>
        </is>
      </c>
      <c r="E107" t="inlineStr">
        <is>
          <t>Section 5.3 sets out what a targeted risk analysis has to contain. No owner against it and no date. NorthPay holds none of them and nothing here moves anyone toward the first.</t>
        </is>
      </c>
      <c r="F107" t="inlineStr">
        <is>
          <t>A</t>
        </is>
      </c>
      <c r="G107" t="inlineStr">
        <is>
          <t>Minor</t>
        </is>
      </c>
    </row>
    <row r="108">
      <c r="A108" t="inlineStr">
        <is>
          <t>R2</t>
        </is>
      </c>
      <c r="B108" t="inlineStr">
        <is>
          <t>P1a</t>
        </is>
      </c>
      <c r="C108" t="inlineStr">
        <is>
          <t>Requirement 12</t>
        </is>
      </c>
      <c r="D108" t="inlineStr">
        <is>
          <t>12.8.1</t>
        </is>
      </c>
      <c r="E108" t="inlineStr">
        <is>
          <t>Section 7.1 requires the TPSP register. Nobody owns it and no review cadence attaches to it.</t>
        </is>
      </c>
      <c r="F108" t="inlineStr">
        <is>
          <t>A</t>
        </is>
      </c>
      <c r="G108" t="inlineStr">
        <is>
          <t>Minor</t>
        </is>
      </c>
    </row>
    <row r="109">
      <c r="A109" t="inlineStr">
        <is>
          <t>R2</t>
        </is>
      </c>
      <c r="B109" t="inlineStr">
        <is>
          <t>P1a</t>
        </is>
      </c>
      <c r="C109" t="inlineStr">
        <is>
          <t>Requirement 12</t>
        </is>
      </c>
      <c r="D109" t="inlineStr">
        <is>
          <t>12.6.3</t>
        </is>
      </c>
      <c r="E109" t="inlineStr">
        <is>
          <t>A repeat of the 78 per cent completion rate would breach no clause in here, because section 6.2 wants completion tracked and outstanding training chased while setting no threshold and naming nobody.</t>
        </is>
      </c>
      <c r="F109" t="inlineStr">
        <is>
          <t>A</t>
        </is>
      </c>
      <c r="G109" t="inlineStr">
        <is>
          <t>Minor</t>
        </is>
      </c>
    </row>
    <row r="110">
      <c r="A110" t="inlineStr">
        <is>
          <t>R2</t>
        </is>
      </c>
      <c r="B110" t="inlineStr">
        <is>
          <t>P1b</t>
        </is>
      </c>
      <c r="C110" t="inlineStr">
        <is>
          <t>Requirement 7</t>
        </is>
      </c>
      <c r="D110" t="inlineStr">
        <is>
          <t>7.2.5.1</t>
        </is>
      </c>
      <c r="E110" t="inlineStr">
        <is>
          <t>Section 3.5 sets the review frequency by targeted risk analysis and then drops 2 elements. I make them inappropriate application and system account access being addressed, and management acknowledging that the access remains appropriate.</t>
        </is>
      </c>
      <c r="F110" t="inlineStr">
        <is>
          <t>A</t>
        </is>
      </c>
      <c r="G110" t="inlineStr">
        <is>
          <t>Minor</t>
        </is>
      </c>
    </row>
    <row r="111">
      <c r="A111" t="inlineStr">
        <is>
          <t>R2</t>
        </is>
      </c>
      <c r="B111" t="inlineStr">
        <is>
          <t>P1b</t>
        </is>
      </c>
      <c r="C111" t="inlineStr">
        <is>
          <t>Requirement 7</t>
        </is>
      </c>
      <c r="D111" t="inlineStr">
        <is>
          <t>7.2.1</t>
        </is>
      </c>
      <c r="E111" t="inlineStr">
        <is>
          <t>“Separation between ordinary and privileged access where appropriate” (3.1). Appropriate when? No criterion is given and I would have to invent one.</t>
        </is>
      </c>
      <c r="F111" t="inlineStr">
        <is>
          <t>A</t>
        </is>
      </c>
      <c r="G111" t="inlineStr">
        <is>
          <t>Minor</t>
        </is>
      </c>
    </row>
    <row r="112">
      <c r="A112" t="inlineStr">
        <is>
          <t>R2</t>
        </is>
      </c>
      <c r="B112" t="inlineStr">
        <is>
          <t>P1b</t>
        </is>
      </c>
      <c r="C112" t="inlineStr">
        <is>
          <t>Requirement 7</t>
        </is>
      </c>
      <c r="D112" t="inlineStr">
        <is>
          <t>7.2.4</t>
        </is>
      </c>
      <c r="E112" t="inlineStr">
        <is>
          <t>The access-control matrix covers “material in-scope systems” (3.1). So whoever runs the six-monthly review decides what falls inside it, and I wouldn’t want to be the one defending that boundary.</t>
        </is>
      </c>
      <c r="F112" t="inlineStr">
        <is>
          <t>A</t>
        </is>
      </c>
      <c r="G112" t="inlineStr">
        <is>
          <t>Minor</t>
        </is>
      </c>
    </row>
    <row r="113">
      <c r="A113" t="inlineStr">
        <is>
          <t>R2</t>
        </is>
      </c>
      <c r="B113" t="inlineStr">
        <is>
          <t>P1b</t>
        </is>
      </c>
      <c r="C113" t="inlineStr">
        <is>
          <t>Requirement 8</t>
        </is>
      </c>
      <c r="D113" t="inlineStr">
        <is>
          <t>8.3.1</t>
        </is>
      </c>
      <c r="E113" t="inlineStr">
        <is>
          <t>The base obligation never appears. Section 4.6 opens on protecting authentication factors and goes straight into password parameters, and nowhere does this policy say that all user and administrator access is authenticated by one of the 3 permitted factor types.</t>
        </is>
      </c>
      <c r="F113" t="inlineStr">
        <is>
          <t>T</t>
        </is>
      </c>
      <c r="G113" t="inlineStr">
        <is>
          <t>Major</t>
        </is>
      </c>
    </row>
    <row r="114">
      <c r="A114" t="inlineStr">
        <is>
          <t>R2</t>
        </is>
      </c>
      <c r="B114" t="inlineStr">
        <is>
          <t>P1b</t>
        </is>
      </c>
      <c r="C114" t="inlineStr">
        <is>
          <t>Requirement 8</t>
        </is>
      </c>
      <c r="D114" t="inlineStr">
        <is>
          <t>8.3.6</t>
        </is>
      </c>
      <c r="E114" t="inlineStr">
        <is>
          <t>“They shall contain alphabetic and numeric characters where required by PCI DSS” (4.6). Both are required and there’s no condition on it. The hedge invites a configuration weaker than the one we already run.</t>
        </is>
      </c>
      <c r="F114" t="inlineStr">
        <is>
          <t>T</t>
        </is>
      </c>
      <c r="G114" t="inlineStr">
        <is>
          <t>Minor</t>
        </is>
      </c>
    </row>
    <row r="115">
      <c r="A115" t="inlineStr">
        <is>
          <t>R2</t>
        </is>
      </c>
      <c r="B115" t="inlineStr">
        <is>
          <t>P1b</t>
        </is>
      </c>
      <c r="C115" t="inlineStr">
        <is>
          <t>Requirement 8</t>
        </is>
      </c>
      <c r="D115" t="inlineStr">
        <is>
          <t>8.3.9</t>
        </is>
      </c>
      <c r="E115" t="inlineStr">
        <is>
          <t>“NorthPay may remove unnecessary routine password expiry for accounts protected by MFA only where doing so remains consistent with the applicable PCI DSS authentication requirements” (4.6). That leaves whoever configures the identity provider to work out what the 90-day change still means.</t>
        </is>
      </c>
      <c r="F115" t="inlineStr">
        <is>
          <t>T</t>
        </is>
      </c>
      <c r="G115" t="inlineStr">
        <is>
          <t>Minor</t>
        </is>
      </c>
    </row>
    <row r="116">
      <c r="A116" t="inlineStr">
        <is>
          <t>R2</t>
        </is>
      </c>
      <c r="B116" t="inlineStr">
        <is>
          <t>P1b</t>
        </is>
      </c>
      <c r="C116" t="inlineStr">
        <is>
          <t>Requirement 8</t>
        </is>
      </c>
      <c r="D116" t="inlineStr">
        <is>
          <t>8.2.8</t>
        </is>
      </c>
      <c r="E116" t="inlineStr">
        <is>
          <t>The order management platform doesn’t time out at all while the tab is open, which is a live problem for us. Section 4.5 requires non-conforming sessions to be “remediated or otherwise brought into compliance where the requirement applies”, with nobody named and no date.</t>
        </is>
      </c>
      <c r="F116" t="inlineStr">
        <is>
          <t>T</t>
        </is>
      </c>
      <c r="G116" t="inlineStr">
        <is>
          <t>Minor</t>
        </is>
      </c>
    </row>
    <row r="117">
      <c r="A117" t="inlineStr">
        <is>
          <t>R2</t>
        </is>
      </c>
      <c r="B117" t="inlineStr">
        <is>
          <t>P1b</t>
        </is>
      </c>
      <c r="C117" t="inlineStr">
        <is>
          <t>Requirement 10</t>
        </is>
      </c>
      <c r="D117" t="inlineStr">
        <is>
          <t>10.4.1</t>
        </is>
      </c>
      <c r="E117" t="inlineStr">
        <is>
          <t>Section 5.3 lets automated alerting and correlation do “the first-stage review, provided significant events are brought to human attention”. “Significant” is nowhere defined. That one word decides whether the daily review happened at all and I would want it pinned down.</t>
        </is>
      </c>
      <c r="F117" t="inlineStr">
        <is>
          <t>T, A</t>
        </is>
      </c>
      <c r="G117" t="inlineStr">
        <is>
          <t>Minor</t>
        </is>
      </c>
    </row>
    <row r="118">
      <c r="A118" t="inlineStr">
        <is>
          <t>R2</t>
        </is>
      </c>
      <c r="B118" t="inlineStr">
        <is>
          <t>P1b</t>
        </is>
      </c>
      <c r="C118" t="inlineStr">
        <is>
          <t>Requirement 10</t>
        </is>
      </c>
      <c r="D118" t="inlineStr">
        <is>
          <t>10.1.1</t>
        </is>
      </c>
      <c r="E118" t="inlineStr">
        <is>
          <t>Central forwarding of security-relevant logs runs into “where technically feasible” (5.2). The fallback route of documenting the limitation and standing up an equivalent process has nobody attached to it.</t>
        </is>
      </c>
      <c r="F118" t="inlineStr">
        <is>
          <t>A</t>
        </is>
      </c>
      <c r="G118" t="inlineStr">
        <is>
          <t>Minor</t>
        </is>
      </c>
    </row>
    <row r="119">
      <c r="A119" t="inlineStr">
        <is>
          <t>R2</t>
        </is>
      </c>
      <c r="B119" t="inlineStr">
        <is>
          <t>P1b</t>
        </is>
      </c>
      <c r="C119" t="inlineStr">
        <is>
          <t>Requirement 10</t>
        </is>
      </c>
      <c r="D119" t="inlineStr">
        <is>
          <t>10.4.2</t>
        </is>
      </c>
      <c r="E119" t="inlineStr">
        <is>
          <t>Section 5.4 makes monthly the operational default until a targeted risk analysis says otherwise. That analysis has no owner and no date, so I can’t see who starts it.</t>
        </is>
      </c>
      <c r="F119" t="inlineStr">
        <is>
          <t>A</t>
        </is>
      </c>
      <c r="G119" t="inlineStr">
        <is>
          <t>Minor</t>
        </is>
      </c>
    </row>
    <row r="120">
      <c r="A120" t="inlineStr">
        <is>
          <t>R2</t>
        </is>
      </c>
      <c r="B120" t="inlineStr">
        <is>
          <t>P1b</t>
        </is>
      </c>
      <c r="C120" t="inlineStr">
        <is>
          <t>Requirement 10</t>
        </is>
      </c>
      <c r="D120" t="inlineStr">
        <is>
          <t>10.5.1</t>
        </is>
      </c>
      <c r="E120" t="inlineStr">
        <is>
          <t>Section 5.6 asks for archival storage “sufficient to meet the 12-month requirement”. Where it goes and who builds it are both open. No date.</t>
        </is>
      </c>
      <c r="F120" t="inlineStr">
        <is>
          <t>T</t>
        </is>
      </c>
      <c r="G120" t="inlineStr">
        <is>
          <t>Minor</t>
        </is>
      </c>
    </row>
    <row r="121">
      <c r="A121" t="inlineStr">
        <is>
          <t>R2</t>
        </is>
      </c>
      <c r="B121" t="inlineStr">
        <is>
          <t>P1b</t>
        </is>
      </c>
      <c r="C121" t="inlineStr">
        <is>
          <t>Requirement 12</t>
        </is>
      </c>
      <c r="D121" t="inlineStr">
        <is>
          <t>12.6.2</t>
        </is>
      </c>
      <c r="E121" t="inlineStr">
        <is>
          <t>Nothing brings the security awareness programme itself back for annual review or refreshes it against new threats, so nothing in here would tell me the training had gone stale. Section 9 covers delivery and content and stops there.</t>
        </is>
      </c>
      <c r="F121" t="inlineStr">
        <is>
          <t>A</t>
        </is>
      </c>
      <c r="G121" t="inlineStr">
        <is>
          <t>Major</t>
        </is>
      </c>
    </row>
    <row r="122">
      <c r="A122" t="inlineStr">
        <is>
          <t>R2</t>
        </is>
      </c>
      <c r="B122" t="inlineStr">
        <is>
          <t>P1b</t>
        </is>
      </c>
      <c r="C122" t="inlineStr">
        <is>
          <t>Requirement 12</t>
        </is>
      </c>
      <c r="D122" t="inlineStr">
        <is>
          <t>12.2.1</t>
        </is>
      </c>
      <c r="E122" t="inlineStr">
        <is>
          <t>Section 6.3 requires an approved technology list and names nobody to approve it, where the sub-requirement wants explicit approval by authorised parties.</t>
        </is>
      </c>
      <c r="F122" t="inlineStr">
        <is>
          <t>A</t>
        </is>
      </c>
      <c r="G122" t="inlineStr">
        <is>
          <t>Minor</t>
        </is>
      </c>
    </row>
    <row r="123">
      <c r="A123" t="inlineStr">
        <is>
          <t>R2</t>
        </is>
      </c>
      <c r="B123" t="inlineStr">
        <is>
          <t>P1b</t>
        </is>
      </c>
      <c r="C123" t="inlineStr">
        <is>
          <t>Requirement 12</t>
        </is>
      </c>
      <c r="D123" t="inlineStr">
        <is>
          <t>12.10.3</t>
        </is>
      </c>
      <c r="E123" t="inlineStr">
        <is>
          <t>The rota at 11.3 is the right shape and nobody owns it. The acquirer contact route it depends on turns up only as a required content item of the plan, which isn’t where I would put it.</t>
        </is>
      </c>
      <c r="F123" t="inlineStr">
        <is>
          <t>A</t>
        </is>
      </c>
      <c r="G123" t="inlineStr">
        <is>
          <t>Minor</t>
        </is>
      </c>
    </row>
    <row r="124">
      <c r="A124" t="inlineStr">
        <is>
          <t>R2</t>
        </is>
      </c>
      <c r="B124" t="inlineStr">
        <is>
          <t>P1b</t>
        </is>
      </c>
      <c r="C124" t="inlineStr">
        <is>
          <t>Requirement 12</t>
        </is>
      </c>
      <c r="D124" t="inlineStr">
        <is>
          <t>12.8.2</t>
        </is>
      </c>
      <c r="E124" t="inlineStr">
        <is>
          <t>Contracts missing the required acknowledgement get addressed “at renewal or sooner according to risk” (10.2). No backstop date. 11 suppliers touch the cloud environment.</t>
        </is>
      </c>
      <c r="F124" t="inlineStr">
        <is>
          <t>A, L</t>
        </is>
      </c>
      <c r="G124" t="inlineStr">
        <is>
          <t>Minor</t>
        </is>
      </c>
    </row>
    <row r="125">
      <c r="A125" t="inlineStr">
        <is>
          <t>R2</t>
        </is>
      </c>
      <c r="B125" t="inlineStr">
        <is>
          <t>P1b</t>
        </is>
      </c>
      <c r="C125" t="inlineStr">
        <is>
          <t>Requirement 12</t>
        </is>
      </c>
      <c r="D125" t="inlineStr">
        <is>
          <t>12.3.1</t>
        </is>
      </c>
      <c r="E125" t="inlineStr">
        <is>
          <t>Section 7.1 puts the targeted risk analysis register on the Information Security Manager and then sets no date for the first analyses. None of them exists.</t>
        </is>
      </c>
      <c r="F125" t="inlineStr">
        <is>
          <t>A</t>
        </is>
      </c>
      <c r="G125" t="inlineStr">
        <is>
          <t>Minor</t>
        </is>
      </c>
    </row>
    <row r="126">
      <c r="A126" t="inlineStr">
        <is>
          <t>R2</t>
        </is>
      </c>
      <c r="B126" t="inlineStr">
        <is>
          <t>P2a</t>
        </is>
      </c>
      <c r="C126" t="inlineStr">
        <is>
          <t>Requirement 7</t>
        </is>
      </c>
      <c r="D126" t="inlineStr">
        <is>
          <t>7.1.2</t>
        </is>
      </c>
      <c r="E126" t="inlineStr">
        <is>
          <t>“Roles and responsibilities for performing activities in Requirement 7 are documented, assigned, and understood” (2.1.2). That is the standard copied across. No role is named anywhere in section 2 so I can’t see that anything has been applied.</t>
        </is>
      </c>
      <c r="F126" t="inlineStr">
        <is>
          <t>A</t>
        </is>
      </c>
      <c r="G126" t="inlineStr">
        <is>
          <t>Minor</t>
        </is>
      </c>
    </row>
    <row r="127">
      <c r="A127" t="inlineStr">
        <is>
          <t>R2</t>
        </is>
      </c>
      <c r="B127" t="inlineStr">
        <is>
          <t>P2a</t>
        </is>
      </c>
      <c r="C127" t="inlineStr">
        <is>
          <t>Requirement 7</t>
        </is>
      </c>
      <c r="D127" t="inlineStr">
        <is>
          <t>7.2.4</t>
        </is>
      </c>
      <c r="E127" t="inlineStr">
        <is>
          <t>“All user accounts and related access privileges … are reviewed at least once every six months” (2.4.1) tells me the review happens. Nobody is required to perform it. Nobody owns it.</t>
        </is>
      </c>
      <c r="F127" t="inlineStr">
        <is>
          <t>A</t>
        </is>
      </c>
      <c r="G127" t="inlineStr">
        <is>
          <t>Minor</t>
        </is>
      </c>
    </row>
    <row r="128">
      <c r="A128" t="inlineStr">
        <is>
          <t>R2</t>
        </is>
      </c>
      <c r="B128" t="inlineStr">
        <is>
          <t>P2a</t>
        </is>
      </c>
      <c r="C128" t="inlineStr">
        <is>
          <t>Requirement 7</t>
        </is>
      </c>
      <c r="D128" t="inlineStr">
        <is>
          <t>7.2.3</t>
        </is>
      </c>
      <c r="E128" t="inlineStr">
        <is>
          <t>“Required privileges are approved by authorised personnel before access is granted” (2.3.2). I can find no approver identified for NorthPay anywhere.</t>
        </is>
      </c>
      <c r="F128" t="inlineStr">
        <is>
          <t>A</t>
        </is>
      </c>
      <c r="G128" t="inlineStr">
        <is>
          <t>Minor</t>
        </is>
      </c>
    </row>
    <row r="129">
      <c r="A129" t="inlineStr">
        <is>
          <t>R2</t>
        </is>
      </c>
      <c r="B129" t="inlineStr">
        <is>
          <t>P2a</t>
        </is>
      </c>
      <c r="C129" t="inlineStr">
        <is>
          <t>Requirement 7</t>
        </is>
      </c>
      <c r="D129" t="inlineStr">
        <is>
          <t>7.2.6</t>
        </is>
      </c>
      <c r="E129" t="inlineStr">
        <is>
          <t>2.6.1 and 2.6.2 come across with no note that NorthPay holds no repository of stored cardholder data. As written I can neither apply the clause nor rule it out.</t>
        </is>
      </c>
      <c r="F129" t="inlineStr">
        <is>
          <t>A</t>
        </is>
      </c>
      <c r="G129" t="inlineStr">
        <is>
          <t>Minor</t>
        </is>
      </c>
    </row>
    <row r="130">
      <c r="A130" t="inlineStr">
        <is>
          <t>R2</t>
        </is>
      </c>
      <c r="B130" t="inlineStr">
        <is>
          <t>P2a</t>
        </is>
      </c>
      <c r="C130" t="inlineStr">
        <is>
          <t>Requirement 8</t>
        </is>
      </c>
      <c r="D130" t="inlineStr">
        <is>
          <t>8.1.2</t>
        </is>
      </c>
      <c r="E130" t="inlineStr">
        <is>
          <t>Same as 7.1.2. 3.1.2 carries the obligation across and assigns nothing. No role appears anywhere in section 3.</t>
        </is>
      </c>
      <c r="F130" t="inlineStr">
        <is>
          <t>A</t>
        </is>
      </c>
      <c r="G130" t="inlineStr">
        <is>
          <t>Minor</t>
        </is>
      </c>
    </row>
    <row r="131">
      <c r="A131" t="inlineStr">
        <is>
          <t>R2</t>
        </is>
      </c>
      <c r="B131" t="inlineStr">
        <is>
          <t>P2a</t>
        </is>
      </c>
      <c r="C131" t="inlineStr">
        <is>
          <t>Requirement 8</t>
        </is>
      </c>
      <c r="D131" t="inlineStr">
        <is>
          <t>8.2.5</t>
        </is>
      </c>
      <c r="E131" t="inlineStr">
        <is>
          <t>I read “Access for terminated users is immediately revoked” (3.2.4) as a statement of fact that lands on nobody as a duty. No owner. No acknowledgement that removal from each platform is done by hand.</t>
        </is>
      </c>
      <c r="F131" t="inlineStr">
        <is>
          <t>A, T</t>
        </is>
      </c>
      <c r="G131" t="inlineStr">
        <is>
          <t>Minor</t>
        </is>
      </c>
    </row>
    <row r="132">
      <c r="A132" t="inlineStr">
        <is>
          <t>R2</t>
        </is>
      </c>
      <c r="B132" t="inlineStr">
        <is>
          <t>P2a</t>
        </is>
      </c>
      <c r="C132" t="inlineStr">
        <is>
          <t>Requirement 8</t>
        </is>
      </c>
      <c r="D132" t="inlineStr">
        <is>
          <t>8.3.6</t>
        </is>
      </c>
      <c r="E132" t="inlineStr">
        <is>
          <t>The 12-character minimum at 3.3.5 arrives with no reference to the 10-character minimum in force. No remediation date and nobody owns it, which leaves me nothing to chase.</t>
        </is>
      </c>
      <c r="F132" t="inlineStr">
        <is>
          <t>T</t>
        </is>
      </c>
      <c r="G132" t="inlineStr">
        <is>
          <t>Minor</t>
        </is>
      </c>
    </row>
    <row r="133">
      <c r="A133" t="inlineStr">
        <is>
          <t>R2</t>
        </is>
      </c>
      <c r="B133" t="inlineStr">
        <is>
          <t>P2a</t>
        </is>
      </c>
      <c r="C133" t="inlineStr">
        <is>
          <t>Requirement 8</t>
        </is>
      </c>
      <c r="D133" t="inlineStr">
        <is>
          <t>8.4.2</t>
        </is>
      </c>
      <c r="E133" t="inlineStr">
        <is>
          <t>MFA for all non-console access into the cardholder data environment (3.4.2) says nothing about the systems that don’t have it and sets no implementation date.</t>
        </is>
      </c>
      <c r="F133" t="inlineStr">
        <is>
          <t>T</t>
        </is>
      </c>
      <c r="G133" t="inlineStr">
        <is>
          <t>Minor</t>
        </is>
      </c>
    </row>
    <row r="134">
      <c r="A134" t="inlineStr">
        <is>
          <t>R2</t>
        </is>
      </c>
      <c r="B134" t="inlineStr">
        <is>
          <t>P2a</t>
        </is>
      </c>
      <c r="C134" t="inlineStr">
        <is>
          <t>Requirement 10</t>
        </is>
      </c>
      <c r="D134" t="inlineStr">
        <is>
          <t>10.4.1</t>
        </is>
      </c>
      <c r="E134" t="inlineStr">
        <is>
          <t>“The following audit logs are reviewed at least once daily” (4.3.1) names no reviewer and sets no operating pattern. The administrator log that never reaches the SIEM goes unaddressed and so does anything arriving outside 08:00 to 18:00 on working days.</t>
        </is>
      </c>
      <c r="F134" t="inlineStr">
        <is>
          <t>A, T</t>
        </is>
      </c>
      <c r="G134" t="inlineStr">
        <is>
          <t>Minor</t>
        </is>
      </c>
    </row>
    <row r="135">
      <c r="A135" t="inlineStr">
        <is>
          <t>R2</t>
        </is>
      </c>
      <c r="B135" t="inlineStr">
        <is>
          <t>P2a</t>
        </is>
      </c>
      <c r="C135" t="inlineStr">
        <is>
          <t>Requirement 10</t>
        </is>
      </c>
      <c r="D135" t="inlineStr">
        <is>
          <t>10.5.1</t>
        </is>
      </c>
      <c r="E135" t="inlineStr">
        <is>
          <t>12-month retention with 3 months immediately available (4.4.1), asserted against a 90-day searchable retention and no archive at all. Nothing requires anyone to close that gap and we would carry it into an assessment.</t>
        </is>
      </c>
      <c r="F135" t="inlineStr">
        <is>
          <t>T</t>
        </is>
      </c>
      <c r="G135" t="inlineStr">
        <is>
          <t>Minor</t>
        </is>
      </c>
    </row>
    <row r="136">
      <c r="A136" t="inlineStr">
        <is>
          <t>R2</t>
        </is>
      </c>
      <c r="B136" t="inlineStr">
        <is>
          <t>P2a</t>
        </is>
      </c>
      <c r="C136" t="inlineStr">
        <is>
          <t>Requirement 10</t>
        </is>
      </c>
      <c r="D136" t="inlineStr">
        <is>
          <t>10.1.2</t>
        </is>
      </c>
      <c r="E136" t="inlineStr">
        <is>
          <t>10.1.2 turns up at 4.1.2 word for word. No logging or review or investigation responsibility is assigned to anyone, so I have nothing to test.</t>
        </is>
      </c>
      <c r="F136" t="inlineStr">
        <is>
          <t>A</t>
        </is>
      </c>
      <c r="G136" t="inlineStr">
        <is>
          <t>Minor</t>
        </is>
      </c>
    </row>
    <row r="137">
      <c r="A137" t="inlineStr">
        <is>
          <t>R2</t>
        </is>
      </c>
      <c r="B137" t="inlineStr">
        <is>
          <t>P2a</t>
        </is>
      </c>
      <c r="C137" t="inlineStr">
        <is>
          <t>Requirement 12</t>
        </is>
      </c>
      <c r="D137" t="inlineStr">
        <is>
          <t>12.10.1</t>
        </is>
      </c>
      <c r="E137" t="inlineStr">
        <is>
          <t>“An incident response plan exists and is ready to be activated” (5.8.1). It doesn’t. No roles are assigned for a suspected compromise of card data and no duty falls on anyone to write the thing. An assessor records this as not in place and so do I.</t>
        </is>
      </c>
      <c r="F137" t="inlineStr">
        <is>
          <t>A</t>
        </is>
      </c>
      <c r="G137" t="inlineStr">
        <is>
          <t>Critical</t>
        </is>
      </c>
    </row>
    <row r="138">
      <c r="A138" t="inlineStr">
        <is>
          <t>R2</t>
        </is>
      </c>
      <c r="B138" t="inlineStr">
        <is>
          <t>P2a</t>
        </is>
      </c>
      <c r="C138" t="inlineStr">
        <is>
          <t>Requirement 12</t>
        </is>
      </c>
      <c r="D138" t="inlineStr">
        <is>
          <t>12.1.4</t>
        </is>
      </c>
      <c r="E138" t="inlineStr">
        <is>
          <t>5.1.4 carries across the requirement to assign responsibility to a Chief Information Security Officer or other knowledgeable member of executive management and then doesn’t assign it. NorthPay has no such officer. The header names an approver, which isn’t the same as a holder of the responsibility.</t>
        </is>
      </c>
      <c r="F138" t="inlineStr">
        <is>
          <t>A</t>
        </is>
      </c>
      <c r="G138" t="inlineStr">
        <is>
          <t>Major</t>
        </is>
      </c>
    </row>
    <row r="139">
      <c r="A139" t="inlineStr">
        <is>
          <t>R2</t>
        </is>
      </c>
      <c r="B139" t="inlineStr">
        <is>
          <t>P2a</t>
        </is>
      </c>
      <c r="C139" t="inlineStr">
        <is>
          <t>Requirement 12</t>
        </is>
      </c>
      <c r="D139" t="inlineStr">
        <is>
          <t>12.10.3</t>
        </is>
      </c>
      <c r="E139" t="inlineStr">
        <is>
          <t>“Specific personnel are designated to be available on a 24/7 basis” (5.8.3). Nobody is designated, and no rota or deputy or contact route is required.</t>
        </is>
      </c>
      <c r="F139" t="inlineStr">
        <is>
          <t>A</t>
        </is>
      </c>
      <c r="G139" t="inlineStr">
        <is>
          <t>Major</t>
        </is>
      </c>
    </row>
    <row r="140">
      <c r="A140" t="inlineStr">
        <is>
          <t>R2</t>
        </is>
      </c>
      <c r="B140" t="inlineStr">
        <is>
          <t>P2a</t>
        </is>
      </c>
      <c r="C140" t="inlineStr">
        <is>
          <t>Requirement 12</t>
        </is>
      </c>
      <c r="D140" t="inlineStr">
        <is>
          <t>12.3.1</t>
        </is>
      </c>
      <c r="E140" t="inlineStr">
        <is>
          <t>5.3.1 sets out the elements of a targeted risk analysis and then requires nobody to produce one. No date either. None exists and nothing here gets us to the first.</t>
        </is>
      </c>
      <c r="F140" t="inlineStr">
        <is>
          <t>A</t>
        </is>
      </c>
      <c r="G140" t="inlineStr">
        <is>
          <t>Minor</t>
        </is>
      </c>
    </row>
    <row r="141">
      <c r="A141" t="inlineStr">
        <is>
          <t>R2</t>
        </is>
      </c>
      <c r="B141" t="inlineStr">
        <is>
          <t>P2a</t>
        </is>
      </c>
      <c r="C141" t="inlineStr">
        <is>
          <t>Requirement 12</t>
        </is>
      </c>
      <c r="D141" t="inlineStr">
        <is>
          <t>12.8.1</t>
        </is>
      </c>
      <c r="E141" t="inlineStr">
        <is>
          <t>5.7.1 to 5.7.5 assert that the register and the written agreements and the due diligence process and the annual monitoring are all in place. No owner against any of them and no start date, so I can’t date the first piece of work.</t>
        </is>
      </c>
      <c r="F141" t="inlineStr">
        <is>
          <t>A</t>
        </is>
      </c>
      <c r="G141" t="inlineStr">
        <is>
          <t>Minor</t>
        </is>
      </c>
    </row>
    <row r="142">
      <c r="A142" t="inlineStr">
        <is>
          <t>R2</t>
        </is>
      </c>
      <c r="B142" t="inlineStr">
        <is>
          <t>P2a</t>
        </is>
      </c>
      <c r="C142" t="inlineStr">
        <is>
          <t>Requirement 12</t>
        </is>
      </c>
      <c r="D142" t="inlineStr">
        <is>
          <t>12.6.3</t>
        </is>
      </c>
      <c r="E142" t="inlineStr">
        <is>
          <t>5.5.3 asserts that training is delivered and acknowledged annually. Nobody owns it and no completion threshold is set. The position as it stands goes unmentioned, which is where I would have started.</t>
        </is>
      </c>
      <c r="F142" t="inlineStr">
        <is>
          <t>A</t>
        </is>
      </c>
      <c r="G142" t="inlineStr">
        <is>
          <t>Minor</t>
        </is>
      </c>
    </row>
    <row r="143">
      <c r="A143" t="inlineStr">
        <is>
          <t>R2</t>
        </is>
      </c>
      <c r="B143" t="inlineStr">
        <is>
          <t>P2b</t>
        </is>
      </c>
      <c r="C143" t="inlineStr">
        <is>
          <t>Requirement 7</t>
        </is>
      </c>
      <c r="D143" t="inlineStr">
        <is>
          <t>7.1.1</t>
        </is>
      </c>
      <c r="E143" t="inlineStr">
        <is>
          <t>There is no statement covering the Requirement 7 policies and operational procedures, and I take the document control block as reaching this policy on its own. Nothing anywhere addresses the procedures being in use.</t>
        </is>
      </c>
      <c r="F143" t="inlineStr">
        <is>
          <t>A</t>
        </is>
      </c>
      <c r="G143" t="inlineStr">
        <is>
          <t>Minor</t>
        </is>
      </c>
    </row>
    <row r="144">
      <c r="A144" t="inlineStr">
        <is>
          <t>R2</t>
        </is>
      </c>
      <c r="B144" t="inlineStr">
        <is>
          <t>P2b</t>
        </is>
      </c>
      <c r="C144" t="inlineStr">
        <is>
          <t>Requirement 7</t>
        </is>
      </c>
      <c r="D144" t="inlineStr">
        <is>
          <t>7.2.1</t>
        </is>
      </c>
      <c r="E144" t="inlineStr">
        <is>
          <t>No access control model is defined. Section 3.1 gives least privilege and job classification and stops short of access appropriate to the business and access needs. The model itself never appears, so I can’t tell how access is meant to be granted.</t>
        </is>
      </c>
      <c r="F144" t="inlineStr">
        <is>
          <t>A</t>
        </is>
      </c>
      <c r="G144" t="inlineStr">
        <is>
          <t>Minor</t>
        </is>
      </c>
    </row>
    <row r="145">
      <c r="A145" t="inlineStr">
        <is>
          <t>R2</t>
        </is>
      </c>
      <c r="B145" t="inlineStr">
        <is>
          <t>P2b</t>
        </is>
      </c>
      <c r="C145" t="inlineStr">
        <is>
          <t>Requirement 7</t>
        </is>
      </c>
      <c r="D145" t="inlineStr">
        <is>
          <t>7.2.5.1</t>
        </is>
      </c>
      <c r="E145" t="inlineStr">
        <is>
          <t>Section 3.4 has the periodic review at the risk-analysis frequency and the management acknowledgement, and it drops the requirement that inappropriate application and system account access is addressed.</t>
        </is>
      </c>
      <c r="F145" t="inlineStr">
        <is>
          <t>A</t>
        </is>
      </c>
      <c r="G145" t="inlineStr">
        <is>
          <t>Minor</t>
        </is>
      </c>
    </row>
    <row r="146">
      <c r="A146" t="inlineStr">
        <is>
          <t>R2</t>
        </is>
      </c>
      <c r="B146" t="inlineStr">
        <is>
          <t>P2b</t>
        </is>
      </c>
      <c r="C146" t="inlineStr">
        <is>
          <t>Requirement 8</t>
        </is>
      </c>
      <c r="D146" t="inlineStr">
        <is>
          <t>8.3.3</t>
        </is>
      </c>
      <c r="E146" t="inlineStr">
        <is>
          <t>Absent. Nothing here requires a user’s identity to be verified before an authentication factor gets modified, and section 4.2 requires approval for the change which is 8.2.4 and a different control altogether. This is the gap that turns a helpdesk call into an account takeover.</t>
        </is>
      </c>
      <c r="F146" t="inlineStr">
        <is>
          <t>T, A</t>
        </is>
      </c>
      <c r="G146" t="inlineStr">
        <is>
          <t>Major</t>
        </is>
      </c>
    </row>
    <row r="147">
      <c r="A147" t="inlineStr">
        <is>
          <t>R2</t>
        </is>
      </c>
      <c r="B147" t="inlineStr">
        <is>
          <t>P2b</t>
        </is>
      </c>
      <c r="C147" t="inlineStr">
        <is>
          <t>Requirement 8</t>
        </is>
      </c>
      <c r="D147" t="inlineStr">
        <is>
          <t>8.2.5</t>
        </is>
      </c>
      <c r="E147" t="inlineStr">
        <is>
          <t>“Access for terminated users is revoked immediately on the last working day (or sooner if the circumstances require)” (4.3). Immediately and on the last working day are 2 different commitments. As written I can’t test either.</t>
        </is>
      </c>
      <c r="F147" t="inlineStr">
        <is>
          <t>T</t>
        </is>
      </c>
      <c r="G147" t="inlineStr">
        <is>
          <t>Minor</t>
        </is>
      </c>
    </row>
    <row r="148">
      <c r="A148" t="inlineStr">
        <is>
          <t>R2</t>
        </is>
      </c>
      <c r="B148" t="inlineStr">
        <is>
          <t>P2b</t>
        </is>
      </c>
      <c r="C148" t="inlineStr">
        <is>
          <t>Requirement 8</t>
        </is>
      </c>
      <c r="D148" t="inlineStr">
        <is>
          <t>8.2.2</t>
        </is>
      </c>
      <c r="E148" t="inlineStr">
        <is>
          <t>Section 4.1 leaves out 2 elements of the exception, and I make them documented business justification for the shared account and confirmation of the individual’s identity before access to it is granted.</t>
        </is>
      </c>
      <c r="F148" t="inlineStr">
        <is>
          <t>A</t>
        </is>
      </c>
      <c r="G148" t="inlineStr">
        <is>
          <t>Minor</t>
        </is>
      </c>
    </row>
    <row r="149">
      <c r="A149" t="inlineStr">
        <is>
          <t>R2</t>
        </is>
      </c>
      <c r="B149" t="inlineStr">
        <is>
          <t>P2b</t>
        </is>
      </c>
      <c r="C149" t="inlineStr">
        <is>
          <t>Requirement 8</t>
        </is>
      </c>
      <c r="D149" t="inlineStr">
        <is>
          <t>8.6.1</t>
        </is>
      </c>
      <c r="E149" t="inlineStr">
        <is>
          <t>Section 4.11 drops documented business justification and confirmation of individual identity for interactive use of system and application accounts.</t>
        </is>
      </c>
      <c r="F149" t="inlineStr">
        <is>
          <t>T, A</t>
        </is>
      </c>
      <c r="G149" t="inlineStr">
        <is>
          <t>Minor</t>
        </is>
      </c>
    </row>
    <row r="150">
      <c r="A150" t="inlineStr">
        <is>
          <t>R2</t>
        </is>
      </c>
      <c r="B150" t="inlineStr">
        <is>
          <t>P2b</t>
        </is>
      </c>
      <c r="C150" t="inlineStr">
        <is>
          <t>Requirement 8</t>
        </is>
      </c>
      <c r="D150" t="inlineStr">
        <is>
          <t>8.3.8</t>
        </is>
      </c>
      <c r="E150" t="inlineStr">
        <is>
          <t>Section 4.12 gives the content of the guidance and never requires the authentication policies and procedures themselves to be documented and communicated to all users.</t>
        </is>
      </c>
      <c r="F150" t="inlineStr">
        <is>
          <t>A</t>
        </is>
      </c>
      <c r="G150" t="inlineStr">
        <is>
          <t>Minor</t>
        </is>
      </c>
    </row>
    <row r="151">
      <c r="A151" t="inlineStr">
        <is>
          <t>R2</t>
        </is>
      </c>
      <c r="B151" t="inlineStr">
        <is>
          <t>P2b</t>
        </is>
      </c>
      <c r="C151" t="inlineStr">
        <is>
          <t>Requirement 8</t>
        </is>
      </c>
      <c r="D151" t="inlineStr">
        <is>
          <t>8.1.1</t>
        </is>
      </c>
      <c r="E151" t="inlineStr">
        <is>
          <t>The Requirement 8 procedures are never said to be in use. Document control gets as far as this policy and no further.</t>
        </is>
      </c>
      <c r="F151" t="inlineStr">
        <is>
          <t>A</t>
        </is>
      </c>
      <c r="G151" t="inlineStr">
        <is>
          <t>Minor</t>
        </is>
      </c>
    </row>
    <row r="152">
      <c r="A152" t="inlineStr">
        <is>
          <t>R2</t>
        </is>
      </c>
      <c r="B152" t="inlineStr">
        <is>
          <t>P2b</t>
        </is>
      </c>
      <c r="C152" t="inlineStr">
        <is>
          <t>Requirement 10</t>
        </is>
      </c>
      <c r="D152" t="inlineStr">
        <is>
          <t>10.7.3</t>
        </is>
      </c>
      <c r="E152" t="inlineStr">
        <is>
          <t>Section 5.7 records the duration and the cause of a critical security control failure and leaves out documenting the remediation required.</t>
        </is>
      </c>
      <c r="F152" t="inlineStr">
        <is>
          <t>T</t>
        </is>
      </c>
      <c r="G152" t="inlineStr">
        <is>
          <t>Minor</t>
        </is>
      </c>
    </row>
    <row r="153">
      <c r="A153" t="inlineStr">
        <is>
          <t>R2</t>
        </is>
      </c>
      <c r="B153" t="inlineStr">
        <is>
          <t>P2b</t>
        </is>
      </c>
      <c r="C153" t="inlineStr">
        <is>
          <t>Requirement 10</t>
        </is>
      </c>
      <c r="D153" t="inlineStr">
        <is>
          <t>10.1.1</t>
        </is>
      </c>
      <c r="E153" t="inlineStr">
        <is>
          <t>Absent. No statement that the Requirement 10 policies and operational procedures are documented, kept up to date, in use and known to affected parties.</t>
        </is>
      </c>
      <c r="F153" t="inlineStr">
        <is>
          <t>A</t>
        </is>
      </c>
      <c r="G153" t="inlineStr">
        <is>
          <t>Minor</t>
        </is>
      </c>
    </row>
    <row r="154">
      <c r="A154" t="inlineStr">
        <is>
          <t>R2</t>
        </is>
      </c>
      <c r="B154" t="inlineStr">
        <is>
          <t>P2b</t>
        </is>
      </c>
      <c r="C154" t="inlineStr">
        <is>
          <t>Requirement 10</t>
        </is>
      </c>
      <c r="D154" t="inlineStr">
        <is>
          <t>10.4.1</t>
        </is>
      </c>
      <c r="E154" t="inlineStr">
        <is>
          <t>Section 5.3 names no reviewer for the daily review. It says nothing about how an evening or weekend event reaches a person, while the alerts land in a mailbox watched 08:00 to 18:00 on working days, which is where I would expect the failure to show.</t>
        </is>
      </c>
      <c r="F154" t="inlineStr">
        <is>
          <t>A</t>
        </is>
      </c>
      <c r="G154" t="inlineStr">
        <is>
          <t>Minor</t>
        </is>
      </c>
    </row>
    <row r="155">
      <c r="A155" t="inlineStr">
        <is>
          <t>R2</t>
        </is>
      </c>
      <c r="B155" t="inlineStr">
        <is>
          <t>P2b</t>
        </is>
      </c>
      <c r="C155" t="inlineStr">
        <is>
          <t>Requirement 10</t>
        </is>
      </c>
      <c r="D155" t="inlineStr">
        <is>
          <t>10.5.1</t>
        </is>
      </c>
      <c r="E155" t="inlineStr">
        <is>
          <t>“Current SIEM retention of 90 days will be extended or supplemented by offline archive to meet this requirement” (5.6). That is an intention where an obligation should sit and it carries no date and nobody’s name.</t>
        </is>
      </c>
      <c r="F155" t="inlineStr">
        <is>
          <t>T</t>
        </is>
      </c>
      <c r="G155" t="inlineStr">
        <is>
          <t>Minor</t>
        </is>
      </c>
    </row>
    <row r="156">
      <c r="A156" t="inlineStr">
        <is>
          <t>R2</t>
        </is>
      </c>
      <c r="B156" t="inlineStr">
        <is>
          <t>P2b</t>
        </is>
      </c>
      <c r="C156" t="inlineStr">
        <is>
          <t>Requirement 12</t>
        </is>
      </c>
      <c r="D156" t="inlineStr">
        <is>
          <t>12.3.3</t>
        </is>
      </c>
      <c r="E156" t="inlineStr">
        <is>
          <t>Absent. No inventory of cryptographic cipher suites and protocols, and no annual review of one. Nothing on anticipated changes in cryptographic vulnerabilities either. Certificate expiry sits in one of our engineers’ spreadsheets today and nothing here displaces that.</t>
        </is>
      </c>
      <c r="F156" t="inlineStr">
        <is>
          <t>T</t>
        </is>
      </c>
      <c r="G156" t="inlineStr">
        <is>
          <t>Major</t>
        </is>
      </c>
    </row>
    <row r="157">
      <c r="A157" t="inlineStr">
        <is>
          <t>R2</t>
        </is>
      </c>
      <c r="B157" t="inlineStr">
        <is>
          <t>P2b</t>
        </is>
      </c>
      <c r="C157" t="inlineStr">
        <is>
          <t>Requirement 12</t>
        </is>
      </c>
      <c r="D157" t="inlineStr">
        <is>
          <t>12.3.4</t>
        </is>
      </c>
      <c r="E157" t="inlineStr">
        <is>
          <t>Absent. Nothing reviews hardware and software technologies annually and nothing tracks end of life. No remediation plan for outdated technology goes to senior management for approval.</t>
        </is>
      </c>
      <c r="F157" t="inlineStr">
        <is>
          <t>T, A</t>
        </is>
      </c>
      <c r="G157" t="inlineStr">
        <is>
          <t>Major</t>
        </is>
      </c>
    </row>
    <row r="158">
      <c r="A158" t="inlineStr">
        <is>
          <t>R2</t>
        </is>
      </c>
      <c r="B158" t="inlineStr">
        <is>
          <t>P2b</t>
        </is>
      </c>
      <c r="C158" t="inlineStr">
        <is>
          <t>Requirement 12</t>
        </is>
      </c>
      <c r="D158" t="inlineStr">
        <is>
          <t>12.3.2</t>
        </is>
      </c>
      <c r="E158" t="inlineStr">
        <is>
          <t>Absent. The customized approach goes unmentioned along with the targeted risk analysis and controls matrix it requires.</t>
        </is>
      </c>
      <c r="F158" t="inlineStr">
        <is>
          <t>A</t>
        </is>
      </c>
      <c r="G158" t="inlineStr">
        <is>
          <t>Major</t>
        </is>
      </c>
    </row>
    <row r="159">
      <c r="A159" t="inlineStr">
        <is>
          <t>R2</t>
        </is>
      </c>
      <c r="B159" t="inlineStr">
        <is>
          <t>P2b</t>
        </is>
      </c>
      <c r="C159" t="inlineStr">
        <is>
          <t>Requirement 12</t>
        </is>
      </c>
      <c r="D159" t="inlineStr">
        <is>
          <t>12.6.2</t>
        </is>
      </c>
      <c r="E159" t="inlineStr">
        <is>
          <t>Absent. Section 6.5 handles delivery of the training. The programme itself is never made subject to review at least every 12 months and nothing updates it for new threats.</t>
        </is>
      </c>
      <c r="F159" t="inlineStr">
        <is>
          <t>A</t>
        </is>
      </c>
      <c r="G159" t="inlineStr">
        <is>
          <t>Major</t>
        </is>
      </c>
    </row>
    <row r="160">
      <c r="A160" t="inlineStr">
        <is>
          <t>R2</t>
        </is>
      </c>
      <c r="B160" t="inlineStr">
        <is>
          <t>P2b</t>
        </is>
      </c>
      <c r="C160" t="inlineStr">
        <is>
          <t>Requirement 12</t>
        </is>
      </c>
      <c r="D160" t="inlineStr">
        <is>
          <t>12.2.1</t>
        </is>
      </c>
      <c r="E160" t="inlineStr">
        <is>
          <t>“This restriction is enforced by conditional-access policy” (6.2). In practice it is enforced by convention, and the clause also leaves out the list of company-approved hardware and software products and names nobody authorised to approve the acceptable use rules.</t>
        </is>
      </c>
      <c r="F160" t="inlineStr">
        <is>
          <t>T, A</t>
        </is>
      </c>
      <c r="G160" t="inlineStr">
        <is>
          <t>Major</t>
        </is>
      </c>
    </row>
    <row r="161">
      <c r="A161" t="inlineStr">
        <is>
          <t>R2</t>
        </is>
      </c>
      <c r="B161" t="inlineStr">
        <is>
          <t>P2b</t>
        </is>
      </c>
      <c r="C161" t="inlineStr">
        <is>
          <t>Requirement 12</t>
        </is>
      </c>
      <c r="D161" t="inlineStr">
        <is>
          <t>12.5.2</t>
        </is>
      </c>
      <c r="E161" t="inlineStr">
        <is>
          <t>Section 6.4 leaves out updating the data-flow diagrams and the justification for environments treated as out of scope. Section 1 also has the storefront, checkout page, order-management platform and administrator access paths comprising the CDE, where they connect to or impact it.</t>
        </is>
      </c>
      <c r="F161" t="inlineStr">
        <is>
          <t>A</t>
        </is>
      </c>
      <c r="G161" t="inlineStr">
        <is>
          <t>Major</t>
        </is>
      </c>
    </row>
    <row r="162">
      <c r="A162" t="inlineStr">
        <is>
          <t>R2</t>
        </is>
      </c>
      <c r="B162" t="inlineStr">
        <is>
          <t>P2b</t>
        </is>
      </c>
      <c r="C162" t="inlineStr">
        <is>
          <t>Requirement 12</t>
        </is>
      </c>
      <c r="D162" t="inlineStr">
        <is>
          <t>12.10.5</t>
        </is>
      </c>
      <c r="E162" t="inlineStr">
        <is>
          <t>Section 6.8 cuts the alert sources down to “alerts from security systems”. Nothing names the change- and tamper-detection mechanism for payment pages, change detection for critical files, network security controls or detection of unauthorised wireless access points.</t>
        </is>
      </c>
      <c r="F162" t="inlineStr">
        <is>
          <t>T</t>
        </is>
      </c>
      <c r="G162" t="inlineStr">
        <is>
          <t>Major</t>
        </is>
      </c>
    </row>
    <row r="163">
      <c r="A163" t="inlineStr">
        <is>
          <t>R2</t>
        </is>
      </c>
      <c r="B163" t="inlineStr">
        <is>
          <t>P2b</t>
        </is>
      </c>
      <c r="C163" t="inlineStr">
        <is>
          <t>Requirement 12</t>
        </is>
      </c>
      <c r="D163" t="inlineStr">
        <is>
          <t>12.10.7</t>
        </is>
      </c>
      <c r="E163" t="inlineStr">
        <is>
          <t>Section 6.8 skips identifying whether sensitive authentication data sits alongside a primary account number found somewhere it isn’t expected.</t>
        </is>
      </c>
      <c r="F163" t="inlineStr">
        <is>
          <t>T</t>
        </is>
      </c>
      <c r="G163" t="inlineStr">
        <is>
          <t>Major</t>
        </is>
      </c>
    </row>
    <row r="164">
      <c r="A164" t="inlineStr">
        <is>
          <t>R2</t>
        </is>
      </c>
      <c r="B164" t="inlineStr">
        <is>
          <t>P2b</t>
        </is>
      </c>
      <c r="C164" t="inlineStr">
        <is>
          <t>Requirement 12</t>
        </is>
      </c>
      <c r="D164" t="inlineStr">
        <is>
          <t>12.8.3</t>
        </is>
      </c>
      <c r="E164" t="inlineStr">
        <is>
          <t>Section 6.7 requires due diligence before engagement and sets up no process for engaging third-party service providers at all. 11 suppliers touch our cloud environment and no register exists.</t>
        </is>
      </c>
      <c r="F164" t="inlineStr">
        <is>
          <t>A</t>
        </is>
      </c>
      <c r="G164" t="inlineStr">
        <is>
          <t>Minor</t>
        </is>
      </c>
    </row>
    <row r="165">
      <c r="A165" t="inlineStr">
        <is>
          <t>R3</t>
        </is>
      </c>
      <c r="B165" t="inlineStr">
        <is>
          <t>P1a</t>
        </is>
      </c>
      <c r="C165" t="inlineStr">
        <is>
          <t>Requirement 7</t>
        </is>
      </c>
      <c r="D165" t="inlineStr">
        <is>
          <t>7.2.3</t>
        </is>
      </c>
      <c r="E165" t="inlineStr">
        <is>
          <t>Clause 2.2 requires privileges to be 'approved by authorized personnel' and changes to identity objects to carry 'appropriate authorization', and neither phrase resolves to a role or a grade anywhere in the document, so as written there is no approver to test.</t>
        </is>
      </c>
      <c r="F165" t="inlineStr">
        <is>
          <t>A</t>
        </is>
      </c>
      <c r="G165" t="inlineStr">
        <is>
          <t>Minor</t>
        </is>
      </c>
    </row>
    <row r="166">
      <c r="A166" t="inlineStr">
        <is>
          <t>R3</t>
        </is>
      </c>
      <c r="B166" t="inlineStr">
        <is>
          <t>P1a</t>
        </is>
      </c>
      <c r="C166" t="inlineStr">
        <is>
          <t>Requirement 7</t>
        </is>
      </c>
      <c r="D166" t="inlineStr">
        <is>
          <t>7.2.4</t>
        </is>
      </c>
      <c r="E166" t="inlineStr">
        <is>
          <t>Six months is stated at 2.3 and so are the four outcomes. The reviewer is not named, no record of the outcome is called for and no limit is set on how long inappropriate access may sit once it has been found.</t>
        </is>
      </c>
      <c r="F166" t="inlineStr">
        <is>
          <t>A</t>
        </is>
      </c>
      <c r="G166" t="inlineStr">
        <is>
          <t>Minor</t>
        </is>
      </c>
    </row>
    <row r="167">
      <c r="A167" t="inlineStr">
        <is>
          <t>R3</t>
        </is>
      </c>
      <c r="B167" t="inlineStr">
        <is>
          <t>P1a</t>
        </is>
      </c>
      <c r="C167" t="inlineStr">
        <is>
          <t>Requirement 7</t>
        </is>
      </c>
      <c r="D167" t="inlineStr">
        <is>
          <t>7.2.5.1</t>
        </is>
      </c>
      <c r="E167" t="inlineStr">
        <is>
          <t>Clause 2.4 hands the application and system account review interval to a targeted risk analysis. Section 5.3 requires that analysis to exist and gives it no first date and no interim interval, so from the day of adoption the review runs to no frequency at all.</t>
        </is>
      </c>
      <c r="F167" t="inlineStr">
        <is>
          <t>A</t>
        </is>
      </c>
      <c r="G167" t="inlineStr">
        <is>
          <t>Minor</t>
        </is>
      </c>
    </row>
    <row r="168">
      <c r="A168" t="inlineStr">
        <is>
          <t>R3</t>
        </is>
      </c>
      <c r="B168" t="inlineStr">
        <is>
          <t>P1a</t>
        </is>
      </c>
      <c r="C168" t="inlineStr">
        <is>
          <t>Requirement 7</t>
        </is>
      </c>
      <c r="D168" t="inlineStr">
        <is>
          <t>7.2.6</t>
        </is>
      </c>
      <c r="E168" t="inlineStr">
        <is>
          <t>Clause 2.5 opens on a condition: 'Where a repository of stored cardholder data exists within scope'. Nothing requires anyone to establish whether one does, so the trigger is never tested and the last-four-digit records in the order management platform fall outside the clause on either reading.</t>
        </is>
      </c>
      <c r="F168" t="inlineStr">
        <is>
          <t>A</t>
        </is>
      </c>
      <c r="G168" t="inlineStr">
        <is>
          <t>Minor</t>
        </is>
      </c>
    </row>
    <row r="169">
      <c r="A169" t="inlineStr">
        <is>
          <t>R3</t>
        </is>
      </c>
      <c r="B169" t="inlineStr">
        <is>
          <t>P1a</t>
        </is>
      </c>
      <c r="C169" t="inlineStr">
        <is>
          <t>Requirement 8</t>
        </is>
      </c>
      <c r="D169" t="inlineStr">
        <is>
          <t>8.2.8</t>
        </is>
      </c>
      <c r="E169" t="inlineStr">
        <is>
          <t>Clause 3.5 sets the 15-minute rule and adds that 'Session configurations that permit indefinite authenticated access while a browser remains open shall not be used'. The order management platform behaves exactly that way and it is a third-party service, yet no deadline is set and no owner is named. No alternative is offered either, such as forced re-authentication at the identity provider.</t>
        </is>
      </c>
      <c r="F169" t="inlineStr">
        <is>
          <t>T</t>
        </is>
      </c>
      <c r="G169" t="inlineStr">
        <is>
          <t>Major</t>
        </is>
      </c>
    </row>
    <row r="170">
      <c r="A170" t="inlineStr">
        <is>
          <t>R3</t>
        </is>
      </c>
      <c r="B170" t="inlineStr">
        <is>
          <t>P1a</t>
        </is>
      </c>
      <c r="C170" t="inlineStr">
        <is>
          <t>Requirement 8</t>
        </is>
      </c>
      <c r="D170" t="inlineStr">
        <is>
          <t>8.2.7</t>
        </is>
      </c>
      <c r="E170" t="inlineStr">
        <is>
          <t>'Use of such accounts shall be monitored for unexpected activity' (3.4). Who monitors is not stated and neither is the interval, and 'unexpected activity' has no definition. As written, none of it converts into a configuration or a test.</t>
        </is>
      </c>
      <c r="F170" t="inlineStr">
        <is>
          <t>T, A</t>
        </is>
      </c>
      <c r="G170" t="inlineStr">
        <is>
          <t>Minor</t>
        </is>
      </c>
    </row>
    <row r="171">
      <c r="A171" t="inlineStr">
        <is>
          <t>R3</t>
        </is>
      </c>
      <c r="B171" t="inlineStr">
        <is>
          <t>P1a</t>
        </is>
      </c>
      <c r="C171" t="inlineStr">
        <is>
          <t>Requirement 8</t>
        </is>
      </c>
      <c r="D171" t="inlineStr">
        <is>
          <t>8.3.8</t>
        </is>
      </c>
      <c r="E171" t="inlineStr">
        <is>
          <t>Clause 3.9 requires authentication guidance to be documented and communicated to users. It needs to name the author, the channel, the issue interval and the record showing users received it. None of the four is there.</t>
        </is>
      </c>
      <c r="F171" t="inlineStr">
        <is>
          <t>A</t>
        </is>
      </c>
      <c r="G171" t="inlineStr">
        <is>
          <t>Minor</t>
        </is>
      </c>
    </row>
    <row r="172">
      <c r="A172" t="inlineStr">
        <is>
          <t>R3</t>
        </is>
      </c>
      <c r="B172" t="inlineStr">
        <is>
          <t>P1a</t>
        </is>
      </c>
      <c r="C172" t="inlineStr">
        <is>
          <t>Requirement 8</t>
        </is>
      </c>
      <c r="D172" t="inlineStr">
        <is>
          <t>8.2.5</t>
        </is>
      </c>
      <c r="E172" t="inlineStr">
        <is>
          <t>'Access for terminated users shall be revoked immediately' (3.3) is stated at full strength and no owner sits behind it. The software-as-a-service platforms the scenario says are de-provisioned by hand get no per-platform step, and 'immediately' comes with nothing to evidence it.</t>
        </is>
      </c>
      <c r="F172" t="inlineStr">
        <is>
          <t>A, T</t>
        </is>
      </c>
      <c r="G172" t="inlineStr">
        <is>
          <t>Minor</t>
        </is>
      </c>
    </row>
    <row r="173">
      <c r="A173" t="inlineStr">
        <is>
          <t>R3</t>
        </is>
      </c>
      <c r="B173" t="inlineStr">
        <is>
          <t>P1a</t>
        </is>
      </c>
      <c r="C173" t="inlineStr">
        <is>
          <t>Requirement 8</t>
        </is>
      </c>
      <c r="D173" t="inlineStr">
        <is>
          <t>8.1.2</t>
        </is>
      </c>
      <c r="E173" t="inlineStr">
        <is>
          <t>Section 1.3 says responsibilities for identity management and authentication 'shall be documented, assigned and communicated', which is a promise to assign rather than an assignment. Password standard configuration, MFA enforcement, lockout settings and account de-provisioning are all left without a role.</t>
        </is>
      </c>
      <c r="F173" t="inlineStr">
        <is>
          <t>A</t>
        </is>
      </c>
      <c r="G173" t="inlineStr">
        <is>
          <t>Minor</t>
        </is>
      </c>
    </row>
    <row r="174">
      <c r="A174" t="inlineStr">
        <is>
          <t>R3</t>
        </is>
      </c>
      <c r="B174" t="inlineStr">
        <is>
          <t>P1a</t>
        </is>
      </c>
      <c r="C174" t="inlineStr">
        <is>
          <t>Requirement 10</t>
        </is>
      </c>
      <c r="D174" t="inlineStr">
        <is>
          <t>10.5.1</t>
        </is>
      </c>
      <c r="E174" t="inlineStr">
        <is>
          <t>Clause 4.6 asks for 'retention or archival arrangements sufficient' to bridge the 90-day searchable window. Name the store. Say who builds it and by when, and require the archived history to be protected against alteration and deletion. As written the 12-month history never comes into being.</t>
        </is>
      </c>
      <c r="F174" t="inlineStr">
        <is>
          <t>T</t>
        </is>
      </c>
      <c r="G174" t="inlineStr">
        <is>
          <t>Major</t>
        </is>
      </c>
    </row>
    <row r="175">
      <c r="A175" t="inlineStr">
        <is>
          <t>R3</t>
        </is>
      </c>
      <c r="B175" t="inlineStr">
        <is>
          <t>P1a</t>
        </is>
      </c>
      <c r="C175" t="inlineStr">
        <is>
          <t>Requirement 10</t>
        </is>
      </c>
      <c r="D175" t="inlineStr">
        <is>
          <t>10.1.2</t>
        </is>
      </c>
      <c r="E175" t="inlineStr">
        <is>
          <t>Clause 4.1 lists four things: operating logging controls, conducting reviews, investigating anomalies and responding to control failures. Responsibility for them 'shall be assigned and understood' and none of it is assigned here.</t>
        </is>
      </c>
      <c r="F175" t="inlineStr">
        <is>
          <t>A</t>
        </is>
      </c>
      <c r="G175" t="inlineStr">
        <is>
          <t>Minor</t>
        </is>
      </c>
    </row>
    <row r="176">
      <c r="A176" t="inlineStr">
        <is>
          <t>R3</t>
        </is>
      </c>
      <c r="B176" t="inlineStr">
        <is>
          <t>P1a</t>
        </is>
      </c>
      <c r="C176" t="inlineStr">
        <is>
          <t>Requirement 10</t>
        </is>
      </c>
      <c r="D176" t="inlineStr">
        <is>
          <t>10.4.1</t>
        </is>
      </c>
      <c r="E176" t="inlineStr">
        <is>
          <t>The daily review has no named reviewer and no rota, and nothing records what it produces. The only mechanism offered is 'procedures that ensure required reviews occur every day', and no date is set by which those procedures must exist.</t>
        </is>
      </c>
      <c r="F176" t="inlineStr">
        <is>
          <t>A, T</t>
        </is>
      </c>
      <c r="G176" t="inlineStr">
        <is>
          <t>Minor</t>
        </is>
      </c>
    </row>
    <row r="177">
      <c r="A177" t="inlineStr">
        <is>
          <t>R3</t>
        </is>
      </c>
      <c r="B177" t="inlineStr">
        <is>
          <t>P1a</t>
        </is>
      </c>
      <c r="C177" t="inlineStr">
        <is>
          <t>Requirement 10</t>
        </is>
      </c>
      <c r="D177" t="inlineStr">
        <is>
          <t>10.4.2, 10.4.2.1</t>
        </is>
      </c>
      <c r="E177" t="inlineStr">
        <is>
          <t>Clause 4.4 sends the periodic interval to a targeted risk analysis, sets no interim default and gives the first analysis no date. The order management platform's administrator log, which the scenario says is not forwarded to the SIEM, is dropped into 'the applicable review arrangements' with no statement of which ones apply.</t>
        </is>
      </c>
      <c r="F177" t="inlineStr">
        <is>
          <t>A</t>
        </is>
      </c>
      <c r="G177" t="inlineStr">
        <is>
          <t>Minor</t>
        </is>
      </c>
    </row>
    <row r="178">
      <c r="A178" t="inlineStr">
        <is>
          <t>R3</t>
        </is>
      </c>
      <c r="B178" t="inlineStr">
        <is>
          <t>P1a</t>
        </is>
      </c>
      <c r="C178" t="inlineStr">
        <is>
          <t>Requirement 10</t>
        </is>
      </c>
      <c r="D178" t="inlineStr">
        <is>
          <t>10.3.1</t>
        </is>
      </c>
      <c r="E178" t="inlineStr">
        <is>
          <t>Clause 4.2 limits read access to personnel with 'a documented job-related need'. Nothing says who documents the need or approves it and nothing says where the record is held.</t>
        </is>
      </c>
      <c r="F178" t="inlineStr">
        <is>
          <t>A</t>
        </is>
      </c>
      <c r="G178" t="inlineStr">
        <is>
          <t>Minor</t>
        </is>
      </c>
    </row>
    <row r="179">
      <c r="A179" t="inlineStr">
        <is>
          <t>R3</t>
        </is>
      </c>
      <c r="B179" t="inlineStr">
        <is>
          <t>P1a</t>
        </is>
      </c>
      <c r="C179" t="inlineStr">
        <is>
          <t>Requirement 12</t>
        </is>
      </c>
      <c r="D179" t="inlineStr">
        <is>
          <t>12.10.3</t>
        </is>
      </c>
      <c r="E179" t="inlineStr">
        <is>
          <t>Clause 8.3 designates 24/7 availability. Outside the hours the shared mailbox is watched there is no rota naming a primary and a deputy and no route by which a high-severity alert reaches the designated responder. The duty is stated with no means of discharging it.</t>
        </is>
      </c>
      <c r="F179" t="inlineStr">
        <is>
          <t>A</t>
        </is>
      </c>
      <c r="G179" t="inlineStr">
        <is>
          <t>Minor</t>
        </is>
      </c>
    </row>
    <row r="180">
      <c r="A180" t="inlineStr">
        <is>
          <t>R3</t>
        </is>
      </c>
      <c r="B180" t="inlineStr">
        <is>
          <t>P1a</t>
        </is>
      </c>
      <c r="C180" t="inlineStr">
        <is>
          <t>Requirement 12</t>
        </is>
      </c>
      <c r="D180" t="inlineStr">
        <is>
          <t>12.3.1</t>
        </is>
      </c>
      <c r="E180" t="inlineStr">
        <is>
          <t>Clause 5.3 requires a targeted risk analysis behind every entity-set frequency, names no owner for it and sets no date for the first ones. Four cadences the policy itself depends on, at 7.2.5.1, 8.6.3, 10.4.2.1 and 12.10.4.1, are undefined from the day it takes effect.</t>
        </is>
      </c>
      <c r="F180" t="inlineStr">
        <is>
          <t>A</t>
        </is>
      </c>
      <c r="G180" t="inlineStr">
        <is>
          <t>Minor</t>
        </is>
      </c>
    </row>
    <row r="181">
      <c r="A181" t="inlineStr">
        <is>
          <t>R3</t>
        </is>
      </c>
      <c r="B181" t="inlineStr">
        <is>
          <t>P1a</t>
        </is>
      </c>
      <c r="C181" t="inlineStr">
        <is>
          <t>Requirement 12</t>
        </is>
      </c>
      <c r="D181" t="inlineStr">
        <is>
          <t>12.1.3</t>
        </is>
      </c>
      <c r="E181" t="inlineStr">
        <is>
          <t>Clause 1.3 requires responsibilities to be defined, made known and acknowledged. It stops short of requiring security responsibilities to appear in job or role descriptions, and that is precisely where the scenario says they are missing for engineering and customer support.</t>
        </is>
      </c>
      <c r="F181" t="inlineStr">
        <is>
          <t>A</t>
        </is>
      </c>
      <c r="G181" t="inlineStr">
        <is>
          <t>Minor</t>
        </is>
      </c>
    </row>
    <row r="182">
      <c r="A182" t="inlineStr">
        <is>
          <t>R3</t>
        </is>
      </c>
      <c r="B182" t="inlineStr">
        <is>
          <t>P1a</t>
        </is>
      </c>
      <c r="C182" t="inlineStr">
        <is>
          <t>Requirement 12</t>
        </is>
      </c>
      <c r="D182" t="inlineStr">
        <is>
          <t>12.8.4</t>
        </is>
      </c>
      <c r="E182" t="inlineStr">
        <is>
          <t>Clause 7.4 narrows annual monitoring to 'applicable TPSPs'. No test for applicability is given and the phrase is never tied back to the register population defined at 7.1.</t>
        </is>
      </c>
      <c r="F182" t="inlineStr">
        <is>
          <t>A</t>
        </is>
      </c>
      <c r="G182" t="inlineStr">
        <is>
          <t>Minor</t>
        </is>
      </c>
    </row>
    <row r="183">
      <c r="A183" t="inlineStr">
        <is>
          <t>R3</t>
        </is>
      </c>
      <c r="B183" t="inlineStr">
        <is>
          <t>P1a</t>
        </is>
      </c>
      <c r="C183" t="inlineStr">
        <is>
          <t>Requirement 12</t>
        </is>
      </c>
      <c r="D183" t="inlineStr">
        <is>
          <t>12.10.1</t>
        </is>
      </c>
      <c r="E183" t="inlineStr">
        <is>
          <t>Clause 8.1 specifies the plan's contents in full. Nothing names its author or its owner and no date is set by which it must exist. The scenario states no security incident response plan has been written.</t>
        </is>
      </c>
      <c r="F183" t="inlineStr">
        <is>
          <t>A</t>
        </is>
      </c>
      <c r="G183" t="inlineStr">
        <is>
          <t>Minor</t>
        </is>
      </c>
    </row>
    <row r="184">
      <c r="A184" t="inlineStr">
        <is>
          <t>R3</t>
        </is>
      </c>
      <c r="B184" t="inlineStr">
        <is>
          <t>P1b</t>
        </is>
      </c>
      <c r="C184" t="inlineStr">
        <is>
          <t>Requirement 7</t>
        </is>
      </c>
      <c r="D184" t="inlineStr">
        <is>
          <t>7.2.5.1</t>
        </is>
      </c>
      <c r="E184" t="inlineStr">
        <is>
          <t>Clause 3.5 reviews application and system account access at a targeted-risk-analysis frequency. Two elements of the sub-requirement drop out: inappropriate access being addressed, and management acknowledging that the access remains appropriate.</t>
        </is>
      </c>
      <c r="F184" t="inlineStr">
        <is>
          <t>A</t>
        </is>
      </c>
      <c r="G184" t="inlineStr">
        <is>
          <t>Major</t>
        </is>
      </c>
    </row>
    <row r="185">
      <c r="A185" t="inlineStr">
        <is>
          <t>R3</t>
        </is>
      </c>
      <c r="B185" t="inlineStr">
        <is>
          <t>P1b</t>
        </is>
      </c>
      <c r="C185" t="inlineStr">
        <is>
          <t>Requirement 7</t>
        </is>
      </c>
      <c r="D185" t="inlineStr">
        <is>
          <t>7.2.1</t>
        </is>
      </c>
      <c r="E185" t="inlineStr">
        <is>
          <t>The access-control matrix at 3.1 is required only for 'material in-scope systems' and material carries no definition anywhere in the document. Unless the test is stated, the population the matrix has to cover cannot be settled and completeness can't be demonstrated.</t>
        </is>
      </c>
      <c r="F185" t="inlineStr">
        <is>
          <t>A</t>
        </is>
      </c>
      <c r="G185" t="inlineStr">
        <is>
          <t>Minor</t>
        </is>
      </c>
    </row>
    <row r="186">
      <c r="A186" t="inlineStr">
        <is>
          <t>R3</t>
        </is>
      </c>
      <c r="B186" t="inlineStr">
        <is>
          <t>P1b</t>
        </is>
      </c>
      <c r="C186" t="inlineStr">
        <is>
          <t>Requirement 7</t>
        </is>
      </c>
      <c r="D186" t="inlineStr">
        <is>
          <t>7.2.4</t>
        </is>
      </c>
      <c r="E186" t="inlineStr">
        <is>
          <t>'Address inappropriate access promptly' (3.4) needs a number of days against it and an escalation route where access stays in place. It has neither. A review can be closed as complete with its findings still open.</t>
        </is>
      </c>
      <c r="F186" t="inlineStr">
        <is>
          <t>A</t>
        </is>
      </c>
      <c r="G186" t="inlineStr">
        <is>
          <t>Minor</t>
        </is>
      </c>
    </row>
    <row r="187">
      <c r="A187" t="inlineStr">
        <is>
          <t>R3</t>
        </is>
      </c>
      <c r="B187" t="inlineStr">
        <is>
          <t>P1b</t>
        </is>
      </c>
      <c r="C187" t="inlineStr">
        <is>
          <t>Requirement 7</t>
        </is>
      </c>
      <c r="D187" t="inlineStr">
        <is>
          <t>7.2.5</t>
        </is>
      </c>
      <c r="E187" t="inlineStr">
        <is>
          <t>The application and system account register at 3.5 has no named maintainer and no review cadence of its own, and the only cadence stated is for the access it records.</t>
        </is>
      </c>
      <c r="F187" t="inlineStr">
        <is>
          <t>A</t>
        </is>
      </c>
      <c r="G187" t="inlineStr">
        <is>
          <t>Minor</t>
        </is>
      </c>
    </row>
    <row r="188">
      <c r="A188" t="inlineStr">
        <is>
          <t>R3</t>
        </is>
      </c>
      <c r="B188" t="inlineStr">
        <is>
          <t>P1b</t>
        </is>
      </c>
      <c r="C188" t="inlineStr">
        <is>
          <t>Requirement 7</t>
        </is>
      </c>
      <c r="D188" t="inlineStr">
        <is>
          <t>7.2.3</t>
        </is>
      </c>
      <c r="E188" t="inlineStr">
        <is>
          <t>Clause 3.2 requires approval by 'the person's manager and/or appropriate system owner'. The and/or leaves it open which approval suffices for a given privilege, and 3.3's legacy group review names no owner at all.</t>
        </is>
      </c>
      <c r="F188" t="inlineStr">
        <is>
          <t>A</t>
        </is>
      </c>
      <c r="G188" t="inlineStr">
        <is>
          <t>Minor</t>
        </is>
      </c>
    </row>
    <row r="189">
      <c r="A189" t="inlineStr">
        <is>
          <t>R3</t>
        </is>
      </c>
      <c r="B189" t="inlineStr">
        <is>
          <t>P1b</t>
        </is>
      </c>
      <c r="C189" t="inlineStr">
        <is>
          <t>Requirement 8</t>
        </is>
      </c>
      <c r="D189" t="inlineStr">
        <is>
          <t>8.3.1</t>
        </is>
      </c>
      <c r="E189" t="inlineStr">
        <is>
          <t>The general obligation is absent: all user and administrator access authenticated by at least one permitted factor. Clause 4.6 starts at password parameters and 4.8 starts at MFA, so an access route using neither, such as the certificate- or key-authenticated path of the SFTP key pair on the finance workstation, falls under no authentication rule at all.</t>
        </is>
      </c>
      <c r="F189" t="inlineStr">
        <is>
          <t>T</t>
        </is>
      </c>
      <c r="G189" t="inlineStr">
        <is>
          <t>Major</t>
        </is>
      </c>
    </row>
    <row r="190">
      <c r="A190" t="inlineStr">
        <is>
          <t>R3</t>
        </is>
      </c>
      <c r="B190" t="inlineStr">
        <is>
          <t>P1b</t>
        </is>
      </c>
      <c r="C190" t="inlineStr">
        <is>
          <t>Requirement 8</t>
        </is>
      </c>
      <c r="D190" t="inlineStr">
        <is>
          <t>8.2.8</t>
        </is>
      </c>
      <c r="E190" t="inlineStr">
        <is>
          <t>'Shall be remediated or otherwise brought into compliance where the requirement applies' (4.5). The scenario has order-management sessions that never time out while a tab stays open, and this clause gives that no deadline, no owner and no compensating control.</t>
        </is>
      </c>
      <c r="F190" t="inlineStr">
        <is>
          <t>T</t>
        </is>
      </c>
      <c r="G190" t="inlineStr">
        <is>
          <t>Major</t>
        </is>
      </c>
    </row>
    <row r="191">
      <c r="A191" t="inlineStr">
        <is>
          <t>R3</t>
        </is>
      </c>
      <c r="B191" t="inlineStr">
        <is>
          <t>P1b</t>
        </is>
      </c>
      <c r="C191" t="inlineStr">
        <is>
          <t>Requirement 8</t>
        </is>
      </c>
      <c r="D191" t="inlineStr">
        <is>
          <t>8.3.6</t>
        </is>
      </c>
      <c r="E191" t="inlineStr">
        <is>
          <t>'They shall contain alphabetic and numeric characters where required by PCI DSS' (4.6, item 2). The composition rule points back at itself, and an engineer configuring the identity provider policy can't read the character set off this document.</t>
        </is>
      </c>
      <c r="F191" t="inlineStr">
        <is>
          <t>T</t>
        </is>
      </c>
      <c r="G191" t="inlineStr">
        <is>
          <t>Minor</t>
        </is>
      </c>
    </row>
    <row r="192">
      <c r="A192" t="inlineStr">
        <is>
          <t>R3</t>
        </is>
      </c>
      <c r="B192" t="inlineStr">
        <is>
          <t>P1b</t>
        </is>
      </c>
      <c r="C192" t="inlineStr">
        <is>
          <t>Requirement 8</t>
        </is>
      </c>
      <c r="D192" t="inlineStr">
        <is>
          <t>8.3.11</t>
        </is>
      </c>
      <c r="E192" t="inlineStr">
        <is>
          <t>Clause 4.6 states that tokens and certificates assigned to individuals shall not be shared. The sub-requirement's second element drops out: the physical or logical controls that ensure only the intended user can use the factor.</t>
        </is>
      </c>
      <c r="F192" t="inlineStr">
        <is>
          <t>T</t>
        </is>
      </c>
      <c r="G192" t="inlineStr">
        <is>
          <t>Minor</t>
        </is>
      </c>
    </row>
    <row r="193">
      <c r="A193" t="inlineStr">
        <is>
          <t>R3</t>
        </is>
      </c>
      <c r="B193" t="inlineStr">
        <is>
          <t>P1b</t>
        </is>
      </c>
      <c r="C193" t="inlineStr">
        <is>
          <t>Requirement 8</t>
        </is>
      </c>
      <c r="D193" t="inlineStr">
        <is>
          <t>8.4.2</t>
        </is>
      </c>
      <c r="E193" t="inlineStr">
        <is>
          <t>Clause 4.8 qualifies the population as 'all applicable non-console access into the CDE' and the sentence naming the order management platform, PSP portal and other systems is itself prefaced 'where applicable'. Applicability is never defined, so whoever configures the tenant sets the enforcement boundary.</t>
        </is>
      </c>
      <c r="F193" t="inlineStr">
        <is>
          <t>T</t>
        </is>
      </c>
      <c r="G193" t="inlineStr">
        <is>
          <t>Minor</t>
        </is>
      </c>
    </row>
    <row r="194">
      <c r="A194" t="inlineStr">
        <is>
          <t>R3</t>
        </is>
      </c>
      <c r="B194" t="inlineStr">
        <is>
          <t>P1b</t>
        </is>
      </c>
      <c r="C194" t="inlineStr">
        <is>
          <t>Requirement 8</t>
        </is>
      </c>
      <c r="D194" t="inlineStr">
        <is>
          <t>8.6.3</t>
        </is>
      </c>
      <c r="E194" t="inlineStr">
        <is>
          <t>Clause 4.9 sends rotation frequency to a targeted risk analysis with no interim default and no date for the first analysis, so on the day the policy takes effect application and system account credentials rotate on no interval at all.</t>
        </is>
      </c>
      <c r="F194" t="inlineStr">
        <is>
          <t>T, A</t>
        </is>
      </c>
      <c r="G194" t="inlineStr">
        <is>
          <t>Minor</t>
        </is>
      </c>
    </row>
    <row r="195">
      <c r="A195" t="inlineStr">
        <is>
          <t>R3</t>
        </is>
      </c>
      <c r="B195" t="inlineStr">
        <is>
          <t>P1b</t>
        </is>
      </c>
      <c r="C195" t="inlineStr">
        <is>
          <t>Requirement 10</t>
        </is>
      </c>
      <c r="D195" t="inlineStr">
        <is>
          <t>10.5.1</t>
        </is>
      </c>
      <c r="E195" t="inlineStr">
        <is>
          <t>Clause 5.6 puts protected archival storage behind the 90-day searchable SIEM window. It names no archive, assigns no owner and fixes no implementation date, and it sets retrieval at 'within a reasonable period', which leaves no build instruction anywhere under the 12-month history.</t>
        </is>
      </c>
      <c r="F195" t="inlineStr">
        <is>
          <t>T</t>
        </is>
      </c>
      <c r="G195" t="inlineStr">
        <is>
          <t>Major</t>
        </is>
      </c>
    </row>
    <row r="196">
      <c r="A196" t="inlineStr">
        <is>
          <t>R3</t>
        </is>
      </c>
      <c r="B196" t="inlineStr">
        <is>
          <t>P1b</t>
        </is>
      </c>
      <c r="C196" t="inlineStr">
        <is>
          <t>Requirement 10</t>
        </is>
      </c>
      <c r="D196" t="inlineStr">
        <is>
          <t>10.7.3</t>
        </is>
      </c>
      <c r="E196" t="inlineStr">
        <is>
          <t>The eight response steps at 5.8 go to 'the responsible team', a phrase defined nowhere in the document. Detection and declaration of a critical security control failure are owned by no role.</t>
        </is>
      </c>
      <c r="F196" t="inlineStr">
        <is>
          <t>A</t>
        </is>
      </c>
      <c r="G196" t="inlineStr">
        <is>
          <t>Minor</t>
        </is>
      </c>
    </row>
    <row r="197">
      <c r="A197" t="inlineStr">
        <is>
          <t>R3</t>
        </is>
      </c>
      <c r="B197" t="inlineStr">
        <is>
          <t>P1b</t>
        </is>
      </c>
      <c r="C197" t="inlineStr">
        <is>
          <t>Requirement 10</t>
        </is>
      </c>
      <c r="D197" t="inlineStr">
        <is>
          <t>10.4.1</t>
        </is>
      </c>
      <c r="E197" t="inlineStr">
        <is>
          <t>Automated first-stage review is permitted 'provided significant events are brought to human attention and there is evidence that the review occurred'. State the severity threshold that makes an event significant, and state what form the evidence takes, because without both the exception is wider than the control it sits inside.</t>
        </is>
      </c>
      <c r="F197" t="inlineStr">
        <is>
          <t>T, A</t>
        </is>
      </c>
      <c r="G197" t="inlineStr">
        <is>
          <t>Minor</t>
        </is>
      </c>
    </row>
    <row r="198">
      <c r="A198" t="inlineStr">
        <is>
          <t>R3</t>
        </is>
      </c>
      <c r="B198" t="inlineStr">
        <is>
          <t>P1b</t>
        </is>
      </c>
      <c r="C198" t="inlineStr">
        <is>
          <t>Requirement 10</t>
        </is>
      </c>
      <c r="D198" t="inlineStr">
        <is>
          <t>10.3.1</t>
        </is>
      </c>
      <c r="E198" t="inlineStr">
        <is>
          <t>'Access shall be limited by job need and logged where supported' (5.6). 'Where supported' makes access logging optional, no record is kept of which systems support it, and nobody reviews who holds log read access.</t>
        </is>
      </c>
      <c r="F198" t="inlineStr">
        <is>
          <t>T</t>
        </is>
      </c>
      <c r="G198" t="inlineStr">
        <is>
          <t>Minor</t>
        </is>
      </c>
    </row>
    <row r="199">
      <c r="A199" t="inlineStr">
        <is>
          <t>R3</t>
        </is>
      </c>
      <c r="B199" t="inlineStr">
        <is>
          <t>P1b</t>
        </is>
      </c>
      <c r="C199" t="inlineStr">
        <is>
          <t>Requirement 10</t>
        </is>
      </c>
      <c r="D199" t="inlineStr">
        <is>
          <t>10.4.2.1</t>
        </is>
      </c>
      <c r="E199" t="inlineStr">
        <is>
          <t>The monthly default at 5.4 is a sound interim. Producing the targeted risk analysis meant to replace it has no owner and no date, so the interim quietly becomes the permanent position.</t>
        </is>
      </c>
      <c r="F199" t="inlineStr">
        <is>
          <t>A</t>
        </is>
      </c>
      <c r="G199" t="inlineStr">
        <is>
          <t>Minor</t>
        </is>
      </c>
    </row>
    <row r="200">
      <c r="A200" t="inlineStr">
        <is>
          <t>R3</t>
        </is>
      </c>
      <c r="B200" t="inlineStr">
        <is>
          <t>P1b</t>
        </is>
      </c>
      <c r="C200" t="inlineStr">
        <is>
          <t>Requirement 12</t>
        </is>
      </c>
      <c r="D200" t="inlineStr">
        <is>
          <t>12.6.2</t>
        </is>
      </c>
      <c r="E200" t="inlineStr">
        <is>
          <t>Absent: any obligation to review the security awareness programme at least once every 12 months and update it for new threats. Section 9 handles training frequency, content and completion, and never turns back on the programme itself.</t>
        </is>
      </c>
      <c r="F200" t="inlineStr">
        <is>
          <t>A</t>
        </is>
      </c>
      <c r="G200" t="inlineStr">
        <is>
          <t>Major</t>
        </is>
      </c>
    </row>
    <row r="201">
      <c r="A201" t="inlineStr">
        <is>
          <t>R3</t>
        </is>
      </c>
      <c r="B201" t="inlineStr">
        <is>
          <t>P1b</t>
        </is>
      </c>
      <c r="C201" t="inlineStr">
        <is>
          <t>Requirement 12</t>
        </is>
      </c>
      <c r="D201" t="inlineStr">
        <is>
          <t>12.10.2</t>
        </is>
      </c>
      <c r="E201" t="inlineStr">
        <is>
          <t>'The test shall exercise all material elements of the plan' (11.6). The sub-requirement wants every element listed at 12.10.1, and material is undefined, which leaves the tester choosing the scope of their own test.</t>
        </is>
      </c>
      <c r="F201" t="inlineStr">
        <is>
          <t>A</t>
        </is>
      </c>
      <c r="G201" t="inlineStr">
        <is>
          <t>Major</t>
        </is>
      </c>
    </row>
    <row r="202">
      <c r="A202" t="inlineStr">
        <is>
          <t>R3</t>
        </is>
      </c>
      <c r="B202" t="inlineStr">
        <is>
          <t>P1b</t>
        </is>
      </c>
      <c r="C202" t="inlineStr">
        <is>
          <t>Requirement 12</t>
        </is>
      </c>
      <c r="D202" t="inlineStr">
        <is>
          <t>12.3.3, 12.5.1, 12.8.1</t>
        </is>
      </c>
      <c r="E202" t="inlineStr">
        <is>
          <t>The cryptographic inventory, the system-component inventory and the TPSP register are each scoped to 'material' or 'relevant' items with no test for materiality anywhere, so none of them can be shown to be complete.</t>
        </is>
      </c>
      <c r="F202" t="inlineStr">
        <is>
          <t>A</t>
        </is>
      </c>
      <c r="G202" t="inlineStr">
        <is>
          <t>Minor</t>
        </is>
      </c>
    </row>
    <row r="203">
      <c r="A203" t="inlineStr">
        <is>
          <t>R3</t>
        </is>
      </c>
      <c r="B203" t="inlineStr">
        <is>
          <t>P1b</t>
        </is>
      </c>
      <c r="C203" t="inlineStr">
        <is>
          <t>Requirement 12</t>
        </is>
      </c>
      <c r="D203" t="inlineStr">
        <is>
          <t>12.8.2</t>
        </is>
      </c>
      <c r="E203" t="inlineStr">
        <is>
          <t>Clause 10.2 pushes agreements lacking the required acknowledgement out to 'renewal or sooner according to risk' with no long-stop date, so a non-compliant contract can run its full term.</t>
        </is>
      </c>
      <c r="F203" t="inlineStr">
        <is>
          <t>A, L</t>
        </is>
      </c>
      <c r="G203" t="inlineStr">
        <is>
          <t>Minor</t>
        </is>
      </c>
    </row>
    <row r="204">
      <c r="A204" t="inlineStr">
        <is>
          <t>R3</t>
        </is>
      </c>
      <c r="B204" t="inlineStr">
        <is>
          <t>P1b</t>
        </is>
      </c>
      <c r="C204" t="inlineStr">
        <is>
          <t>Requirement 12</t>
        </is>
      </c>
      <c r="D204" t="inlineStr">
        <is>
          <t>12.2.1</t>
        </is>
      </c>
      <c r="E204" t="inlineStr">
        <is>
          <t>Clause 6.3 requires an approved technology list without saying who approves it or how often it is refreshed, and the 'explicit approval by authorized parties' element rests only on the general policy approver at 6.1.</t>
        </is>
      </c>
      <c r="F204" t="inlineStr">
        <is>
          <t>A</t>
        </is>
      </c>
      <c r="G204" t="inlineStr">
        <is>
          <t>Minor</t>
        </is>
      </c>
    </row>
    <row r="205">
      <c r="A205" t="inlineStr">
        <is>
          <t>R3</t>
        </is>
      </c>
      <c r="B205" t="inlineStr">
        <is>
          <t>P2a</t>
        </is>
      </c>
      <c r="C205" t="inlineStr">
        <is>
          <t>Requirement 7</t>
        </is>
      </c>
      <c r="D205" t="inlineStr">
        <is>
          <t>7.1.2</t>
        </is>
      </c>
      <c r="E205" t="inlineStr">
        <is>
          <t>Clause 2.1.2 asserts that roles and responsibilities 'are documented, assigned, and understood' and assigns nothing. Section 2 never names who grants access, who approves a privilege or who runs the six-monthly review.</t>
        </is>
      </c>
      <c r="F205" t="inlineStr">
        <is>
          <t>A</t>
        </is>
      </c>
      <c r="G205" t="inlineStr">
        <is>
          <t>Major</t>
        </is>
      </c>
    </row>
    <row r="206">
      <c r="A206" t="inlineStr">
        <is>
          <t>R3</t>
        </is>
      </c>
      <c r="B206" t="inlineStr">
        <is>
          <t>P2a</t>
        </is>
      </c>
      <c r="C206" t="inlineStr">
        <is>
          <t>Requirement 7</t>
        </is>
      </c>
      <c r="D206" t="inlineStr">
        <is>
          <t>7.2.3</t>
        </is>
      </c>
      <c r="E206" t="inlineStr">
        <is>
          <t>'Required privileges are approved by authorised personnel before access is granted' (2.3.2). Nowhere does authorised personnel resolve to a role or a grade, so as written no approver can be identified and none can be tested.</t>
        </is>
      </c>
      <c r="F206" t="inlineStr">
        <is>
          <t>A</t>
        </is>
      </c>
      <c r="G206" t="inlineStr">
        <is>
          <t>Minor</t>
        </is>
      </c>
    </row>
    <row r="207">
      <c r="A207" t="inlineStr">
        <is>
          <t>R3</t>
        </is>
      </c>
      <c r="B207" t="inlineStr">
        <is>
          <t>P2a</t>
        </is>
      </c>
      <c r="C207" t="inlineStr">
        <is>
          <t>Requirement 7</t>
        </is>
      </c>
      <c r="D207" t="inlineStr">
        <is>
          <t>7.2.4</t>
        </is>
      </c>
      <c r="E207" t="inlineStr">
        <is>
          <t>The six-monthly review has its interval. Nothing else. It lacks a named reviewer, a stated output and any limit on how long inappropriate access may remain once identified.</t>
        </is>
      </c>
      <c r="F207" t="inlineStr">
        <is>
          <t>A</t>
        </is>
      </c>
      <c r="G207" t="inlineStr">
        <is>
          <t>Minor</t>
        </is>
      </c>
    </row>
    <row r="208">
      <c r="A208" t="inlineStr">
        <is>
          <t>R3</t>
        </is>
      </c>
      <c r="B208" t="inlineStr">
        <is>
          <t>P2a</t>
        </is>
      </c>
      <c r="C208" t="inlineStr">
        <is>
          <t>Requirement 7</t>
        </is>
      </c>
      <c r="D208" t="inlineStr">
        <is>
          <t>7.2.6</t>
        </is>
      </c>
      <c r="E208" t="inlineStr">
        <is>
          <t>Clause 2.6 states in the present indicative that access to repositories of stored cardholder data is restricted and no primary account number rests on any NorthPay system, on the scenario's own account, so the clause describes an environment NorthPay does not have and the last-four-digit records in the order management platform go unaddressed.</t>
        </is>
      </c>
      <c r="F208" t="inlineStr">
        <is>
          <t>A</t>
        </is>
      </c>
      <c r="G208" t="inlineStr">
        <is>
          <t>Minor</t>
        </is>
      </c>
    </row>
    <row r="209">
      <c r="A209" t="inlineStr">
        <is>
          <t>R3</t>
        </is>
      </c>
      <c r="B209" t="inlineStr">
        <is>
          <t>P2a</t>
        </is>
      </c>
      <c r="C209" t="inlineStr">
        <is>
          <t>Requirement 7</t>
        </is>
      </c>
      <c r="D209" t="inlineStr">
        <is>
          <t>7.2.5.1</t>
        </is>
      </c>
      <c r="E209" t="inlineStr">
        <is>
          <t>The review interval for application and system accounts goes wholly to a targeted risk analysis. Clause 5.3.1 requires such analyses to exist and then sets no owner and no interim interval with no date for the first and the scenario states no analysis of this kind has ever been produced.</t>
        </is>
      </c>
      <c r="F209" t="inlineStr">
        <is>
          <t>A</t>
        </is>
      </c>
      <c r="G209" t="inlineStr">
        <is>
          <t>Minor</t>
        </is>
      </c>
    </row>
    <row r="210">
      <c r="A210" t="inlineStr">
        <is>
          <t>R3</t>
        </is>
      </c>
      <c r="B210" t="inlineStr">
        <is>
          <t>P2a</t>
        </is>
      </c>
      <c r="C210" t="inlineStr">
        <is>
          <t>Requirement 8</t>
        </is>
      </c>
      <c r="D210" t="inlineStr">
        <is>
          <t>8.4.1, 8.4.2, 8.4.3</t>
        </is>
      </c>
      <c r="E210" t="inlineStr">
        <is>
          <t>Clause 3.4 states that MFA 'is implemented' for administrative, non-console and remote access into the CDE. Enforcement today covers the AWS console and the collaboration suite and nothing else, so in the indicative the clause records a state that does not exist with no extension required, no enforcement point named and no date set. Sampled, this would be recorded as not in place.</t>
        </is>
      </c>
      <c r="F210" t="inlineStr">
        <is>
          <t>T</t>
        </is>
      </c>
      <c r="G210" t="inlineStr">
        <is>
          <t>Major</t>
        </is>
      </c>
    </row>
    <row r="211">
      <c r="A211" t="inlineStr">
        <is>
          <t>R3</t>
        </is>
      </c>
      <c r="B211" t="inlineStr">
        <is>
          <t>P2a</t>
        </is>
      </c>
      <c r="C211" t="inlineStr">
        <is>
          <t>Requirement 8</t>
        </is>
      </c>
      <c r="D211" t="inlineStr">
        <is>
          <t>8.3.6, 8.3.4, 8.2.8</t>
        </is>
      </c>
      <c r="E211" t="inlineStr">
        <is>
          <t>The 12-character minimum, the 10-attempt lockout and the 15-minute idle timeout are all stated as existing facts. On the ground it is ten characters, six attempts and sixty minutes for administrative console sessions, with order-management sessions that never time out. Nothing here requires the configuration to change and nobody is given the change to make.</t>
        </is>
      </c>
      <c r="F211" t="inlineStr">
        <is>
          <t>T</t>
        </is>
      </c>
      <c r="G211" t="inlineStr">
        <is>
          <t>Major</t>
        </is>
      </c>
    </row>
    <row r="212">
      <c r="A212" t="inlineStr">
        <is>
          <t>R3</t>
        </is>
      </c>
      <c r="B212" t="inlineStr">
        <is>
          <t>P2a</t>
        </is>
      </c>
      <c r="C212" t="inlineStr">
        <is>
          <t>Requirement 8</t>
        </is>
      </c>
      <c r="D212" t="inlineStr">
        <is>
          <t>8.1.2</t>
        </is>
      </c>
      <c r="E212" t="inlineStr">
        <is>
          <t>Clause 3.1.2 asserts that roles and responsibilities 'are documented, assigned, and understood' and leaves every one of them unallocated. Password standards, MFA enforcement, lockout configuration and de-provisioning have no owner between them.</t>
        </is>
      </c>
      <c r="F212" t="inlineStr">
        <is>
          <t>A</t>
        </is>
      </c>
      <c r="G212" t="inlineStr">
        <is>
          <t>Major</t>
        </is>
      </c>
    </row>
    <row r="213">
      <c r="A213" t="inlineStr">
        <is>
          <t>R3</t>
        </is>
      </c>
      <c r="B213" t="inlineStr">
        <is>
          <t>P2a</t>
        </is>
      </c>
      <c r="C213" t="inlineStr">
        <is>
          <t>Requirement 8</t>
        </is>
      </c>
      <c r="D213" t="inlineStr">
        <is>
          <t>8.2.5</t>
        </is>
      </c>
      <c r="E213" t="inlineStr">
        <is>
          <t>'Access for terminated users is immediately revoked' (3.2.4) and no owner carries it. The software-as-a-service platforms de-provisioned by hand get no per-platform step and nothing has to be evidenced.</t>
        </is>
      </c>
      <c r="F213" t="inlineStr">
        <is>
          <t>A, T</t>
        </is>
      </c>
      <c r="G213" t="inlineStr">
        <is>
          <t>Minor</t>
        </is>
      </c>
    </row>
    <row r="214">
      <c r="A214" t="inlineStr">
        <is>
          <t>R3</t>
        </is>
      </c>
      <c r="B214" t="inlineStr">
        <is>
          <t>P2a</t>
        </is>
      </c>
      <c r="C214" t="inlineStr">
        <is>
          <t>Requirement 8</t>
        </is>
      </c>
      <c r="D214" t="inlineStr">
        <is>
          <t>8.3.8</t>
        </is>
      </c>
      <c r="E214" t="inlineStr">
        <is>
          <t>Clause 3.3.7 requires authentication guidance to be documented and communicated to all users, and author, channel, cadence and record of receipt are all unstated.</t>
        </is>
      </c>
      <c r="F214" t="inlineStr">
        <is>
          <t>A</t>
        </is>
      </c>
      <c r="G214" t="inlineStr">
        <is>
          <t>Minor</t>
        </is>
      </c>
    </row>
    <row r="215">
      <c r="A215" t="inlineStr">
        <is>
          <t>R3</t>
        </is>
      </c>
      <c r="B215" t="inlineStr">
        <is>
          <t>P2a</t>
        </is>
      </c>
      <c r="C215" t="inlineStr">
        <is>
          <t>Requirement 8</t>
        </is>
      </c>
      <c r="D215" t="inlineStr">
        <is>
          <t>8.6.2</t>
        </is>
      </c>
      <c r="E215" t="inlineStr">
        <is>
          <t>The prohibition on hard-coded credentials at 3.5.2 names no approved secret store and requires nobody to go and look at the repository secrets that hold the deployment credentials.</t>
        </is>
      </c>
      <c r="F215" t="inlineStr">
        <is>
          <t>T</t>
        </is>
      </c>
      <c r="G215" t="inlineStr">
        <is>
          <t>Minor</t>
        </is>
      </c>
    </row>
    <row r="216">
      <c r="A216" t="inlineStr">
        <is>
          <t>R3</t>
        </is>
      </c>
      <c r="B216" t="inlineStr">
        <is>
          <t>P2a</t>
        </is>
      </c>
      <c r="C216" t="inlineStr">
        <is>
          <t>Requirement 10</t>
        </is>
      </c>
      <c r="D216" t="inlineStr">
        <is>
          <t>10.5.1</t>
        </is>
      </c>
      <c r="E216" t="inlineStr">
        <is>
          <t>'Audit log history is retained for at least 12 months, with at least the most recent three months immediately available' (4.4.1), put as an existing fact. In reality the SIEM holds 90 days under licence, older logs are deleted or overwritten and no archive has been configured and nothing here requires an archive, names one, assigns it or dates it.</t>
        </is>
      </c>
      <c r="F216" t="inlineStr">
        <is>
          <t>T</t>
        </is>
      </c>
      <c r="G216" t="inlineStr">
        <is>
          <t>Major</t>
        </is>
      </c>
    </row>
    <row r="217">
      <c r="A217" t="inlineStr">
        <is>
          <t>R3</t>
        </is>
      </c>
      <c r="B217" t="inlineStr">
        <is>
          <t>P2a</t>
        </is>
      </c>
      <c r="C217" t="inlineStr">
        <is>
          <t>Requirement 10</t>
        </is>
      </c>
      <c r="D217" t="inlineStr">
        <is>
          <t>10.1.2</t>
        </is>
      </c>
      <c r="E217" t="inlineStr">
        <is>
          <t>Clause 4.1.2 asserts that responsibilities for Requirement 10 activities are documented, assigned and understood. Nobody ends up holding any of them.</t>
        </is>
      </c>
      <c r="F217" t="inlineStr">
        <is>
          <t>A</t>
        </is>
      </c>
      <c r="G217" t="inlineStr">
        <is>
          <t>Major</t>
        </is>
      </c>
    </row>
    <row r="218">
      <c r="A218" t="inlineStr">
        <is>
          <t>R3</t>
        </is>
      </c>
      <c r="B218" t="inlineStr">
        <is>
          <t>P2a</t>
        </is>
      </c>
      <c r="C218" t="inlineStr">
        <is>
          <t>Requirement 10</t>
        </is>
      </c>
      <c r="D218" t="inlineStr">
        <is>
          <t>10.4.1</t>
        </is>
      </c>
      <c r="E218" t="inlineStr">
        <is>
          <t>The daily review names no reviewer and requires no record that it happened. Automated first-stage triage isn't permitted and non-working days go unmentioned.</t>
        </is>
      </c>
      <c r="F218" t="inlineStr">
        <is>
          <t>A</t>
        </is>
      </c>
      <c r="G218" t="inlineStr">
        <is>
          <t>Minor</t>
        </is>
      </c>
    </row>
    <row r="219">
      <c r="A219" t="inlineStr">
        <is>
          <t>R3</t>
        </is>
      </c>
      <c r="B219" t="inlineStr">
        <is>
          <t>P2a</t>
        </is>
      </c>
      <c r="C219" t="inlineStr">
        <is>
          <t>Requirement 10</t>
        </is>
      </c>
      <c r="D219" t="inlineStr">
        <is>
          <t>10.4.2, 10.4.2.1</t>
        </is>
      </c>
      <c r="E219" t="inlineStr">
        <is>
          <t>The periodic interval for other components goes wholly to a targeted risk analysis with no interim default behind it. The order-management administrator log, visible only in that platform's interface and never forwarded to the SIEM, appears nowhere in section 4.</t>
        </is>
      </c>
      <c r="F219" t="inlineStr">
        <is>
          <t>A</t>
        </is>
      </c>
      <c r="G219" t="inlineStr">
        <is>
          <t>Minor</t>
        </is>
      </c>
    </row>
    <row r="220">
      <c r="A220" t="inlineStr">
        <is>
          <t>R3</t>
        </is>
      </c>
      <c r="B220" t="inlineStr">
        <is>
          <t>P2a</t>
        </is>
      </c>
      <c r="C220" t="inlineStr">
        <is>
          <t>Requirement 10</t>
        </is>
      </c>
      <c r="D220" t="inlineStr">
        <is>
          <t>10.4.3</t>
        </is>
      </c>
      <c r="E220" t="inlineStr">
        <is>
          <t>'Exceptions and anomalies identified during the review process are addressed' (4.3.4). No owner and no time limit. No escalation route either.</t>
        </is>
      </c>
      <c r="F220" t="inlineStr">
        <is>
          <t>A</t>
        </is>
      </c>
      <c r="G220" t="inlineStr">
        <is>
          <t>Minor</t>
        </is>
      </c>
    </row>
    <row r="221">
      <c r="A221" t="inlineStr">
        <is>
          <t>R3</t>
        </is>
      </c>
      <c r="B221" t="inlineStr">
        <is>
          <t>P2a</t>
        </is>
      </c>
      <c r="C221" t="inlineStr">
        <is>
          <t>Requirement 12</t>
        </is>
      </c>
      <c r="D221" t="inlineStr">
        <is>
          <t>12.10.1</t>
        </is>
      </c>
      <c r="E221" t="inlineStr">
        <is>
          <t>Clause 5.8.1 specifies the plan's contents and states that the plan 'exists and is ready to be activated'. No security-specific incident response plan has been written and no roles have been assigned and nothing here requires the plan to be produced, names its author or sets a date for it.</t>
        </is>
      </c>
      <c r="F221" t="inlineStr">
        <is>
          <t>A</t>
        </is>
      </c>
      <c r="G221" t="inlineStr">
        <is>
          <t>Major</t>
        </is>
      </c>
    </row>
    <row r="222">
      <c r="A222" t="inlineStr">
        <is>
          <t>R3</t>
        </is>
      </c>
      <c r="B222" t="inlineStr">
        <is>
          <t>P2a</t>
        </is>
      </c>
      <c r="C222" t="inlineStr">
        <is>
          <t>Requirement 12</t>
        </is>
      </c>
      <c r="D222" t="inlineStr">
        <is>
          <t>12.8.1, 12.8.2, 12.8.3, 12.8.4, 12.8.5</t>
        </is>
      </c>
      <c r="E222" t="inlineStr">
        <is>
          <t>The supplier register, the written agreements, the due diligence process, the annual compliance monitoring and the responsibility matrix are all stated in the indicative as things that exist. No register is maintained and no due diligence is carried out, nobody is assigned to produce any of the five and no date attaches to any of them either.</t>
        </is>
      </c>
      <c r="F222" t="inlineStr">
        <is>
          <t>A</t>
        </is>
      </c>
      <c r="G222" t="inlineStr">
        <is>
          <t>Major</t>
        </is>
      </c>
    </row>
    <row r="223">
      <c r="A223" t="inlineStr">
        <is>
          <t>R3</t>
        </is>
      </c>
      <c r="B223" t="inlineStr">
        <is>
          <t>P2a</t>
        </is>
      </c>
      <c r="C223" t="inlineStr">
        <is>
          <t>Requirement 12</t>
        </is>
      </c>
      <c r="D223" t="inlineStr">
        <is>
          <t>12.1.4</t>
        </is>
      </c>
      <c r="E223" t="inlineStr">
        <is>
          <t>Clause 5.1.4 reproduces the requirement and names nobody. NorthPay has no Chief Information Security Officer and the Chief Technology Officer owns the programme without that ever having been written down and this document does not write it down either.</t>
        </is>
      </c>
      <c r="F223" t="inlineStr">
        <is>
          <t>A</t>
        </is>
      </c>
      <c r="G223" t="inlineStr">
        <is>
          <t>Major</t>
        </is>
      </c>
    </row>
    <row r="224">
      <c r="A224" t="inlineStr">
        <is>
          <t>R3</t>
        </is>
      </c>
      <c r="B224" t="inlineStr">
        <is>
          <t>P2a</t>
        </is>
      </c>
      <c r="C224" t="inlineStr">
        <is>
          <t>Requirement 12</t>
        </is>
      </c>
      <c r="D224" t="inlineStr">
        <is>
          <t>12.3.1</t>
        </is>
      </c>
      <c r="E224" t="inlineStr">
        <is>
          <t>Targeted risk analyses are required at 5.3.1 with nobody assigned to produce them and no date set. Four intervals elsewhere in the policy wait on them.</t>
        </is>
      </c>
      <c r="F224" t="inlineStr">
        <is>
          <t>A</t>
        </is>
      </c>
      <c r="G224" t="inlineStr">
        <is>
          <t>Minor</t>
        </is>
      </c>
    </row>
    <row r="225">
      <c r="A225" t="inlineStr">
        <is>
          <t>R3</t>
        </is>
      </c>
      <c r="B225" t="inlineStr">
        <is>
          <t>P2a</t>
        </is>
      </c>
      <c r="C225" t="inlineStr">
        <is>
          <t>Requirement 12</t>
        </is>
      </c>
      <c r="D225" t="inlineStr">
        <is>
          <t>12.6.3</t>
        </is>
      </c>
      <c r="E225" t="inlineStr">
        <is>
          <t>Training is required on hire and annually with acknowledgement. No owner is named, and non-completion carries neither a threshold nor an escalation route, against a completion rate of 78 per cent last year.</t>
        </is>
      </c>
      <c r="F225" t="inlineStr">
        <is>
          <t>A</t>
        </is>
      </c>
      <c r="G225" t="inlineStr">
        <is>
          <t>Minor</t>
        </is>
      </c>
    </row>
    <row r="226">
      <c r="A226" t="inlineStr">
        <is>
          <t>R3</t>
        </is>
      </c>
      <c r="B226" t="inlineStr">
        <is>
          <t>P2a</t>
        </is>
      </c>
      <c r="C226" t="inlineStr">
        <is>
          <t>Requirement 12</t>
        </is>
      </c>
      <c r="D226" t="inlineStr">
        <is>
          <t>12.2.1</t>
        </is>
      </c>
      <c r="E226" t="inlineStr">
        <is>
          <t>The approved product list is required. Nobody is named to compile it or to keep it current and the personal devices in use for email and calendar are not addressed anywhere.</t>
        </is>
      </c>
      <c r="F226" t="inlineStr">
        <is>
          <t>A</t>
        </is>
      </c>
      <c r="G226" t="inlineStr">
        <is>
          <t>Minor</t>
        </is>
      </c>
    </row>
    <row r="227">
      <c r="A227" t="inlineStr">
        <is>
          <t>R3</t>
        </is>
      </c>
      <c r="B227" t="inlineStr">
        <is>
          <t>P2b</t>
        </is>
      </c>
      <c r="C227" t="inlineStr">
        <is>
          <t>Requirement 7</t>
        </is>
      </c>
      <c r="D227" t="inlineStr">
        <is>
          <t>7.1.1</t>
        </is>
      </c>
      <c r="E227" t="inlineStr">
        <is>
          <t>No clause requires the operational procedures supporting Requirement 7 to be documented, kept up to date, in use and known to affected parties, while section 8 lists access-request and review records among the related documents and puts no obligation on anyone to maintain them.</t>
        </is>
      </c>
      <c r="F227" t="inlineStr">
        <is>
          <t>A</t>
        </is>
      </c>
      <c r="G227" t="inlineStr">
        <is>
          <t>Major</t>
        </is>
      </c>
    </row>
    <row r="228">
      <c r="A228" t="inlineStr">
        <is>
          <t>R3</t>
        </is>
      </c>
      <c r="B228" t="inlineStr">
        <is>
          <t>P2b</t>
        </is>
      </c>
      <c r="C228" t="inlineStr">
        <is>
          <t>Requirement 7</t>
        </is>
      </c>
      <c r="D228" t="inlineStr">
        <is>
          <t>7.2.1</t>
        </is>
      </c>
      <c r="E228" t="inlineStr">
        <is>
          <t>Clause 3.1 states least privilege and job classification and stops short of defining an access control model. Nothing requires access to be matched to the entity's business and access needs and nothing requires a role-to-system mapping to be kept, so with fourteen identity provider groups in use and three of them obsolete, nothing in this section would surface the mismatch.</t>
        </is>
      </c>
      <c r="F228" t="inlineStr">
        <is>
          <t>A</t>
        </is>
      </c>
      <c r="G228" t="inlineStr">
        <is>
          <t>Major</t>
        </is>
      </c>
    </row>
    <row r="229">
      <c r="A229" t="inlineStr">
        <is>
          <t>R3</t>
        </is>
      </c>
      <c r="B229" t="inlineStr">
        <is>
          <t>P2b</t>
        </is>
      </c>
      <c r="C229" t="inlineStr">
        <is>
          <t>Requirement 7</t>
        </is>
      </c>
      <c r="D229" t="inlineStr">
        <is>
          <t>7.2.5.1</t>
        </is>
      </c>
      <c r="E229" t="inlineStr">
        <is>
          <t>Clause 3.4 carries the management acknowledgement and drops the element requiring inappropriate application and system account access to be addressed and the interval goes to a targeted risk analysis with no interim frequency behind it.</t>
        </is>
      </c>
      <c r="F229" t="inlineStr">
        <is>
          <t>A</t>
        </is>
      </c>
      <c r="G229" t="inlineStr">
        <is>
          <t>Major</t>
        </is>
      </c>
    </row>
    <row r="230">
      <c r="A230" t="inlineStr">
        <is>
          <t>R3</t>
        </is>
      </c>
      <c r="B230" t="inlineStr">
        <is>
          <t>P2b</t>
        </is>
      </c>
      <c r="C230" t="inlineStr">
        <is>
          <t>Requirement 7</t>
        </is>
      </c>
      <c r="D230" t="inlineStr">
        <is>
          <t>7.2.4</t>
        </is>
      </c>
      <c r="E230" t="inlineStr">
        <is>
          <t>'Any unnecessary access is removed' (3.3). Say within how many days, and say what happens when removal does not follow the review. Neither is stated.</t>
        </is>
      </c>
      <c r="F230" t="inlineStr">
        <is>
          <t>A</t>
        </is>
      </c>
      <c r="G230" t="inlineStr">
        <is>
          <t>Minor</t>
        </is>
      </c>
    </row>
    <row r="231">
      <c r="A231" t="inlineStr">
        <is>
          <t>R3</t>
        </is>
      </c>
      <c r="B231" t="inlineStr">
        <is>
          <t>P2b</t>
        </is>
      </c>
      <c r="C231" t="inlineStr">
        <is>
          <t>Requirement 7</t>
        </is>
      </c>
      <c r="D231" t="inlineStr">
        <is>
          <t>7.2.6</t>
        </is>
      </c>
      <c r="E231" t="inlineStr">
        <is>
          <t>Clause 3.5 extends the restriction to 'any repository that holds cardholder data (or data that could lead to it)'. The parenthesis has no definition and could reach any customer record, so as written the systems covered cannot be determined.</t>
        </is>
      </c>
      <c r="F231" t="inlineStr">
        <is>
          <t>A</t>
        </is>
      </c>
      <c r="G231" t="inlineStr">
        <is>
          <t>Minor</t>
        </is>
      </c>
    </row>
    <row r="232">
      <c r="A232" t="inlineStr">
        <is>
          <t>R3</t>
        </is>
      </c>
      <c r="B232" t="inlineStr">
        <is>
          <t>P2b</t>
        </is>
      </c>
      <c r="C232" t="inlineStr">
        <is>
          <t>Requirement 7</t>
        </is>
      </c>
      <c r="D232" t="inlineStr">
        <is>
          <t>7.2.3</t>
        </is>
      </c>
      <c r="E232" t="inlineStr">
        <is>
          <t>Every access approval runs to the Information Security Manager, or to the CTO for privileged roles. No delegation is stated and no cover for absence, and with one full-time manager in the security function approval becomes a single point of failure.</t>
        </is>
      </c>
      <c r="F232" t="inlineStr">
        <is>
          <t>A</t>
        </is>
      </c>
      <c r="G232" t="inlineStr">
        <is>
          <t>Minor</t>
        </is>
      </c>
    </row>
    <row r="233">
      <c r="A233" t="inlineStr">
        <is>
          <t>R3</t>
        </is>
      </c>
      <c r="B233" t="inlineStr">
        <is>
          <t>P2b</t>
        </is>
      </c>
      <c r="C233" t="inlineStr">
        <is>
          <t>Requirement 8</t>
        </is>
      </c>
      <c r="D233" t="inlineStr">
        <is>
          <t>8.3.3</t>
        </is>
      </c>
      <c r="E233" t="inlineStr">
        <is>
          <t>Absent. No clause requires a user's identity to be verified before an authentication factor is modified. Clause 4.2 requires approval for the addition, modification or deletion of authentication factors and that is a different control: approval authorises the change and it doesn't establish that the person asking is the account holder, which leaves the helpdesk reset path uncontrolled.</t>
        </is>
      </c>
      <c r="F233" t="inlineStr">
        <is>
          <t>T, A</t>
        </is>
      </c>
      <c r="G233" t="inlineStr">
        <is>
          <t>Critical</t>
        </is>
      </c>
    </row>
    <row r="234">
      <c r="A234" t="inlineStr">
        <is>
          <t>R3</t>
        </is>
      </c>
      <c r="B234" t="inlineStr">
        <is>
          <t>P2b</t>
        </is>
      </c>
      <c r="C234" t="inlineStr">
        <is>
          <t>Requirement 8</t>
        </is>
      </c>
      <c r="D234" t="inlineStr">
        <is>
          <t>8.2.5</t>
        </is>
      </c>
      <c r="E234" t="inlineStr">
        <is>
          <t>'Access for terminated users is revoked immediately on the last working day (or sooner if the circumstances require)' (4.3). Termination is the sub-requirement's trigger and the end of the last working day is a later one, so under this wording somebody terminated mid-notice keeps access until that date.</t>
        </is>
      </c>
      <c r="F234" t="inlineStr">
        <is>
          <t>A</t>
        </is>
      </c>
      <c r="G234" t="inlineStr">
        <is>
          <t>Major</t>
        </is>
      </c>
    </row>
    <row r="235">
      <c r="A235" t="inlineStr">
        <is>
          <t>R3</t>
        </is>
      </c>
      <c r="B235" t="inlineStr">
        <is>
          <t>P2b</t>
        </is>
      </c>
      <c r="C235" t="inlineStr">
        <is>
          <t>Requirement 8</t>
        </is>
      </c>
      <c r="D235" t="inlineStr">
        <is>
          <t>8.6.1</t>
        </is>
      </c>
      <c r="E235" t="inlineStr">
        <is>
          <t>Clause 4.11 states that application and system accounts allowing interactive login 'are treated as exceptional, time-limited, approved and attributable to an individual'. Two elements are missing behind that: a documented business justification, and confirmation of the individual's identity before access is granted.</t>
        </is>
      </c>
      <c r="F235" t="inlineStr">
        <is>
          <t>T, A</t>
        </is>
      </c>
      <c r="G235" t="inlineStr">
        <is>
          <t>Major</t>
        </is>
      </c>
    </row>
    <row r="236">
      <c r="A236" t="inlineStr">
        <is>
          <t>R3</t>
        </is>
      </c>
      <c r="B236" t="inlineStr">
        <is>
          <t>P2b</t>
        </is>
      </c>
      <c r="C236" t="inlineStr">
        <is>
          <t>Requirement 8</t>
        </is>
      </c>
      <c r="D236" t="inlineStr">
        <is>
          <t>8.2.2</t>
        </is>
      </c>
      <c r="E236" t="inlineStr">
        <is>
          <t>Clause 4.1 drops the confirmation of individual identity before access to a shared account is granted and the only approver named is 'management'.</t>
        </is>
      </c>
      <c r="F236" t="inlineStr">
        <is>
          <t>A</t>
        </is>
      </c>
      <c r="G236" t="inlineStr">
        <is>
          <t>Major</t>
        </is>
      </c>
    </row>
    <row r="237">
      <c r="A237" t="inlineStr">
        <is>
          <t>R3</t>
        </is>
      </c>
      <c r="B237" t="inlineStr">
        <is>
          <t>P2b</t>
        </is>
      </c>
      <c r="C237" t="inlineStr">
        <is>
          <t>Requirement 8</t>
        </is>
      </c>
      <c r="D237" t="inlineStr">
        <is>
          <t>8.1.1</t>
        </is>
      </c>
      <c r="E237" t="inlineStr">
        <is>
          <t>Nothing requires the operational procedures supporting Requirement 8 to be documented, kept current, in use and known to affected parties.</t>
        </is>
      </c>
      <c r="F237" t="inlineStr">
        <is>
          <t>A</t>
        </is>
      </c>
      <c r="G237" t="inlineStr">
        <is>
          <t>Major</t>
        </is>
      </c>
    </row>
    <row r="238">
      <c r="A238" t="inlineStr">
        <is>
          <t>R3</t>
        </is>
      </c>
      <c r="B238" t="inlineStr">
        <is>
          <t>P2b</t>
        </is>
      </c>
      <c r="C238" t="inlineStr">
        <is>
          <t>Requirement 8</t>
        </is>
      </c>
      <c r="D238" t="inlineStr">
        <is>
          <t>8.6.3</t>
        </is>
      </c>
      <c r="E238" t="inlineStr">
        <is>
          <t>Clause 4.11 omits the requirement that application and system account credentials be built with complexity appropriate to the rotation frequency and no interim rotation interval is set while the targeted risk analysis is outstanding.</t>
        </is>
      </c>
      <c r="F238" t="inlineStr">
        <is>
          <t>T</t>
        </is>
      </c>
      <c r="G238" t="inlineStr">
        <is>
          <t>Minor</t>
        </is>
      </c>
    </row>
    <row r="239">
      <c r="A239" t="inlineStr">
        <is>
          <t>R3</t>
        </is>
      </c>
      <c r="B239" t="inlineStr">
        <is>
          <t>P2b</t>
        </is>
      </c>
      <c r="C239" t="inlineStr">
        <is>
          <t>Requirement 8</t>
        </is>
      </c>
      <c r="D239" t="inlineStr">
        <is>
          <t>8.3.8</t>
        </is>
      </c>
      <c r="E239" t="inlineStr">
        <is>
          <t>Clause 4.12 covers the reporting of suspicion and omits the instruction to change a password where compromise is suspected or known, and issuing the guidance carries no cadence and leaves no record.</t>
        </is>
      </c>
      <c r="F239" t="inlineStr">
        <is>
          <t>A</t>
        </is>
      </c>
      <c r="G239" t="inlineStr">
        <is>
          <t>Minor</t>
        </is>
      </c>
    </row>
    <row r="240">
      <c r="A240" t="inlineStr">
        <is>
          <t>R3</t>
        </is>
      </c>
      <c r="B240" t="inlineStr">
        <is>
          <t>P2b</t>
        </is>
      </c>
      <c r="C240" t="inlineStr">
        <is>
          <t>Requirement 10</t>
        </is>
      </c>
      <c r="D240" t="inlineStr">
        <is>
          <t>10.5.1</t>
        </is>
      </c>
      <c r="E240" t="inlineStr">
        <is>
          <t>'Current SIEM retention of 90 days will be extended or supplemented by offline archive to meet this requirement' (5.6). Nothing names the archive, assigns an owner, sets a date or requires the archived history to be protected against alteration and deletion. Behind the twelve-month history sits an expectation and nothing else.</t>
        </is>
      </c>
      <c r="F240" t="inlineStr">
        <is>
          <t>T</t>
        </is>
      </c>
      <c r="G240" t="inlineStr">
        <is>
          <t>Major</t>
        </is>
      </c>
    </row>
    <row r="241">
      <c r="A241" t="inlineStr">
        <is>
          <t>R3</t>
        </is>
      </c>
      <c r="B241" t="inlineStr">
        <is>
          <t>P2b</t>
        </is>
      </c>
      <c r="C241" t="inlineStr">
        <is>
          <t>Requirement 10</t>
        </is>
      </c>
      <c r="D241" t="inlineStr">
        <is>
          <t>10.4.2, 10.4.2.1</t>
        </is>
      </c>
      <c r="E241" t="inlineStr">
        <is>
          <t>The periodic interval for other components goes wholly to a targeted risk analysis with no interim default. There's no mention in section 5 of the order-management administrator log, which is visible only in that platform's interface and never reaches the SIEM, so neither the daily nor the periodic population can be determined.</t>
        </is>
      </c>
      <c r="F241" t="inlineStr">
        <is>
          <t>T, A</t>
        </is>
      </c>
      <c r="G241" t="inlineStr">
        <is>
          <t>Major</t>
        </is>
      </c>
    </row>
    <row r="242">
      <c r="A242" t="inlineStr">
        <is>
          <t>R3</t>
        </is>
      </c>
      <c r="B242" t="inlineStr">
        <is>
          <t>P2b</t>
        </is>
      </c>
      <c r="C242" t="inlineStr">
        <is>
          <t>Requirement 10</t>
        </is>
      </c>
      <c r="D242" t="inlineStr">
        <is>
          <t>10.1.1</t>
        </is>
      </c>
      <c r="E242" t="inlineStr">
        <is>
          <t>No clause requires the logging and monitoring procedures supporting Requirement 10 to be documented, kept up to date, in use and known to affected parties, and section 8 leaves them out of the related documents as well.</t>
        </is>
      </c>
      <c r="F242" t="inlineStr">
        <is>
          <t>A</t>
        </is>
      </c>
      <c r="G242" t="inlineStr">
        <is>
          <t>Major</t>
        </is>
      </c>
    </row>
    <row r="243">
      <c r="A243" t="inlineStr">
        <is>
          <t>R3</t>
        </is>
      </c>
      <c r="B243" t="inlineStr">
        <is>
          <t>P2b</t>
        </is>
      </c>
      <c r="C243" t="inlineStr">
        <is>
          <t>Requirement 10</t>
        </is>
      </c>
      <c r="D243" t="inlineStr">
        <is>
          <t>10.4.1</t>
        </is>
      </c>
      <c r="E243" t="inlineStr">
        <is>
          <t>Nobody is named to perform the daily review. It leaves no required record and non-working days are not provided for.</t>
        </is>
      </c>
      <c r="F243" t="inlineStr">
        <is>
          <t>A, T</t>
        </is>
      </c>
      <c r="G243" t="inlineStr">
        <is>
          <t>Minor</t>
        </is>
      </c>
    </row>
    <row r="244">
      <c r="A244" t="inlineStr">
        <is>
          <t>R3</t>
        </is>
      </c>
      <c r="B244" t="inlineStr">
        <is>
          <t>P2b</t>
        </is>
      </c>
      <c r="C244" t="inlineStr">
        <is>
          <t>Requirement 10</t>
        </is>
      </c>
      <c r="D244" t="inlineStr">
        <is>
          <t>10.7.3</t>
        </is>
      </c>
      <c r="E244" t="inlineStr">
        <is>
          <t>Clause 5.7 requires the duration and cause of a failure to be recorded. The remediation determined is left undocumented and the sub-requirement lists it separately from the cause.</t>
        </is>
      </c>
      <c r="F244" t="inlineStr">
        <is>
          <t>A</t>
        </is>
      </c>
      <c r="G244" t="inlineStr">
        <is>
          <t>Minor</t>
        </is>
      </c>
    </row>
    <row r="245">
      <c r="A245" t="inlineStr">
        <is>
          <t>R3</t>
        </is>
      </c>
      <c r="B245" t="inlineStr">
        <is>
          <t>P2b</t>
        </is>
      </c>
      <c r="C245" t="inlineStr">
        <is>
          <t>Requirement 12</t>
        </is>
      </c>
      <c r="D245" t="inlineStr">
        <is>
          <t>12.3.3</t>
        </is>
      </c>
      <c r="E245" t="inlineStr">
        <is>
          <t>Absent. Nothing requires an inventory of cryptographic cipher suites and protocols, an annual review of it, monitoring of their continued viability or a plan for anticipated cryptographic change. No such inventory exists today and certificate expiry lives in a spreadsheet held by one engineer.</t>
        </is>
      </c>
      <c r="F245" t="inlineStr">
        <is>
          <t>T</t>
        </is>
      </c>
      <c r="G245" t="inlineStr">
        <is>
          <t>Major</t>
        </is>
      </c>
    </row>
    <row r="246">
      <c r="A246" t="inlineStr">
        <is>
          <t>R3</t>
        </is>
      </c>
      <c r="B246" t="inlineStr">
        <is>
          <t>P2b</t>
        </is>
      </c>
      <c r="C246" t="inlineStr">
        <is>
          <t>Requirement 12</t>
        </is>
      </c>
      <c r="D246" t="inlineStr">
        <is>
          <t>12.3.4</t>
        </is>
      </c>
      <c r="E246" t="inlineStr">
        <is>
          <t>Absent. Nothing requires hardware and software technologies to be reviewed at least every 12 months for continued vendor support, continued PCI DSS compliance, end-of-life announcements or a senior-management-approved remediation plan.</t>
        </is>
      </c>
      <c r="F246" t="inlineStr">
        <is>
          <t>T</t>
        </is>
      </c>
      <c r="G246" t="inlineStr">
        <is>
          <t>Major</t>
        </is>
      </c>
    </row>
    <row r="247">
      <c r="A247" t="inlineStr">
        <is>
          <t>R3</t>
        </is>
      </c>
      <c r="B247" t="inlineStr">
        <is>
          <t>P2b</t>
        </is>
      </c>
      <c r="C247" t="inlineStr">
        <is>
          <t>Requirement 12</t>
        </is>
      </c>
      <c r="D247" t="inlineStr">
        <is>
          <t>12.6.2</t>
        </is>
      </c>
      <c r="E247" t="inlineStr">
        <is>
          <t>Absent. Clause 6.5 handles training frequency, content and a completion target and never turns to the awareness programme itself, which has to be reviewed at least every 12 months and updated for new threats.</t>
        </is>
      </c>
      <c r="F247" t="inlineStr">
        <is>
          <t>A</t>
        </is>
      </c>
      <c r="G247" t="inlineStr">
        <is>
          <t>Major</t>
        </is>
      </c>
    </row>
    <row r="248">
      <c r="A248" t="inlineStr">
        <is>
          <t>R3</t>
        </is>
      </c>
      <c r="B248" t="inlineStr">
        <is>
          <t>P2b</t>
        </is>
      </c>
      <c r="C248" t="inlineStr">
        <is>
          <t>Requirement 12</t>
        </is>
      </c>
      <c r="D248" t="inlineStr">
        <is>
          <t>12.10.5</t>
        </is>
      </c>
      <c r="E248" t="inlineStr">
        <is>
          <t>'The plan includes monitoring and response to alerts from security systems' (6.8). None of the five alert sources the sub-requirement lists is named and the payment-page change-and-tamper-detection mechanism is absent from the document entirely, in a policy written for a merchant serving its own checkout page.</t>
        </is>
      </c>
      <c r="F248" t="inlineStr">
        <is>
          <t>T</t>
        </is>
      </c>
      <c r="G248" t="inlineStr">
        <is>
          <t>Major</t>
        </is>
      </c>
    </row>
    <row r="249">
      <c r="A249" t="inlineStr">
        <is>
          <t>R3</t>
        </is>
      </c>
      <c r="B249" t="inlineStr">
        <is>
          <t>P2b</t>
        </is>
      </c>
      <c r="C249" t="inlineStr">
        <is>
          <t>Requirement 12</t>
        </is>
      </c>
      <c r="D249" t="inlineStr">
        <is>
          <t>12.2.1</t>
        </is>
      </c>
      <c r="E249" t="inlineStr">
        <is>
          <t>'This restriction is enforced by conditional-access policy' (6.2). Personal devices reaching CDE-connected systems are held back by convention and no conditional-access policy does it, so the clause records a control as operating where it should be requiring one to be implemented. No approved product list is called for either.</t>
        </is>
      </c>
      <c r="F249" t="inlineStr">
        <is>
          <t>T</t>
        </is>
      </c>
      <c r="G249" t="inlineStr">
        <is>
          <t>Major</t>
        </is>
      </c>
    </row>
    <row r="250">
      <c r="A250" t="inlineStr">
        <is>
          <t>R3</t>
        </is>
      </c>
      <c r="B250" t="inlineStr">
        <is>
          <t>P2b</t>
        </is>
      </c>
      <c r="C250" t="inlineStr">
        <is>
          <t>Requirement 12</t>
        </is>
      </c>
      <c r="D250" t="inlineStr">
        <is>
          <t>12.3.2</t>
        </is>
      </c>
      <c r="E250" t="inlineStr">
        <is>
          <t>Absent. Nothing addresses the targeted risk analysis required where a requirement is met by the customized approach, with its controls matrix, its senior-management approval and its annual performance.</t>
        </is>
      </c>
      <c r="F250" t="inlineStr">
        <is>
          <t>A</t>
        </is>
      </c>
      <c r="G250" t="inlineStr">
        <is>
          <t>Minor</t>
        </is>
      </c>
    </row>
    <row r="251">
      <c r="A251" t="inlineStr">
        <is>
          <t>R3</t>
        </is>
      </c>
      <c r="B251" t="inlineStr">
        <is>
          <t>P2b</t>
        </is>
      </c>
      <c r="C251" t="inlineStr">
        <is>
          <t>Requirement 12</t>
        </is>
      </c>
      <c r="D251" t="inlineStr">
        <is>
          <t>12.10.7</t>
        </is>
      </c>
      <c r="E251" t="inlineStr">
        <is>
          <t>Clause 6.8 covers retrieval, secure deletion or migration, source and remediation on discovery of unexpected PAN, and identifying whether sensitive authentication data sits alongside it drops out.</t>
        </is>
      </c>
      <c r="F251" t="inlineStr">
        <is>
          <t>T</t>
        </is>
      </c>
      <c r="G251" t="inlineStr">
        <is>
          <t>Minor</t>
        </is>
      </c>
    </row>
    <row r="252">
      <c r="A252" t="inlineStr">
        <is>
          <t>R3</t>
        </is>
      </c>
      <c r="B252" t="inlineStr">
        <is>
          <t>P2b</t>
        </is>
      </c>
      <c r="C252" t="inlineStr">
        <is>
          <t>Requirement 12</t>
        </is>
      </c>
      <c r="D252" t="inlineStr">
        <is>
          <t>12.5.1</t>
        </is>
      </c>
      <c r="E252" t="inlineStr">
        <is>
          <t>Clause 6.4 requires an inventory of in-scope system components without the description of each component's function or use that the sub-requirement calls for.</t>
        </is>
      </c>
      <c r="F252" t="inlineStr">
        <is>
          <t>A</t>
        </is>
      </c>
      <c r="G252" t="inlineStr">
        <is>
          <t>Minor</t>
        </is>
      </c>
    </row>
    <row r="253">
      <c r="A253" t="inlineStr">
        <is>
          <t>R3</t>
        </is>
      </c>
      <c r="B253" t="inlineStr">
        <is>
          <t>P2b</t>
        </is>
      </c>
      <c r="C253" t="inlineStr">
        <is>
          <t>Requirement 12</t>
        </is>
      </c>
      <c r="D253" t="inlineStr">
        <is>
          <t>12.10.2</t>
        </is>
      </c>
      <c r="E253" t="inlineStr">
        <is>
          <t>Clause 6.8 requires the plan to be reviewed and tested at least annually and stops short of requiring the test to cover all elements listed in 12.10.1.</t>
        </is>
      </c>
      <c r="F253" t="inlineStr">
        <is>
          <t>A</t>
        </is>
      </c>
      <c r="G253" t="inlineStr">
        <is>
          <t>Minor</t>
        </is>
      </c>
    </row>
    <row r="254">
      <c r="A254" t="inlineStr">
        <is>
          <t>R3</t>
        </is>
      </c>
      <c r="B254" t="inlineStr">
        <is>
          <t>P2b</t>
        </is>
      </c>
      <c r="C254" t="inlineStr">
        <is>
          <t>Requirement 12</t>
        </is>
      </c>
      <c r="D254" t="inlineStr">
        <is>
          <t>12.3.1</t>
        </is>
      </c>
      <c r="E254" t="inlineStr">
        <is>
          <t>Clause 6.3 omits the element requiring an updated analysis where the annual review determines one is needed, and owner and first-production date for the analyses are both unstated.</t>
        </is>
      </c>
      <c r="F254" t="inlineStr">
        <is>
          <t>A</t>
        </is>
      </c>
      <c r="G254" t="inlineStr">
        <is>
          <t>Minor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9"/>
  <sheetViews>
    <sheetView tabSelected="1" workbookViewId="0">
      <selection activeCell="A1" sqref="A1"/>
    </sheetView>
  </sheetViews>
  <sheetFormatPr baseColWidth="8" defaultRowHeight="14.5"/>
  <cols>
    <col width="8" customWidth="1" min="1" max="1"/>
    <col width="17" customWidth="1" min="2" max="2"/>
    <col width="16" customWidth="1" min="3" max="3"/>
    <col width="12" customWidth="1" min="4" max="4"/>
    <col width="11" customWidth="1" min="5" max="7"/>
    <col width="12" customWidth="1" min="8" max="8"/>
    <col width="22" customWidth="1" min="9" max="9"/>
  </cols>
  <sheetData>
    <row r="1">
      <c r="A1" s="15" t="inlineStr">
        <is>
          <t>Requirement-area scores: the model auditor against the three human reviewers, same policy, same area.</t>
        </is>
      </c>
    </row>
    <row r="3">
      <c r="A3" s="16" t="inlineStr">
        <is>
          <t>Policy</t>
        </is>
      </c>
      <c r="B3" s="16" t="inlineStr">
        <is>
          <t>Requirement area</t>
        </is>
      </c>
      <c r="C3" s="16" t="inlineStr">
        <is>
          <t>Model auditor</t>
        </is>
      </c>
      <c r="D3" s="16" t="inlineStr">
        <is>
          <t>Model score</t>
        </is>
      </c>
      <c r="E3" s="16" t="inlineStr">
        <is>
          <t>R1</t>
        </is>
      </c>
      <c r="F3" s="16" t="inlineStr">
        <is>
          <t>R2</t>
        </is>
      </c>
      <c r="G3" s="16" t="inlineStr">
        <is>
          <t>R3</t>
        </is>
      </c>
      <c r="H3" s="16" t="inlineStr">
        <is>
          <t>Human mean</t>
        </is>
      </c>
      <c r="I3" s="16" t="inlineStr">
        <is>
          <t>Model minus human mean</t>
        </is>
      </c>
    </row>
    <row r="4">
      <c r="A4" t="inlineStr">
        <is>
          <t>P1a</t>
        </is>
      </c>
      <c r="B4" t="inlineStr">
        <is>
          <t>Requirement 7</t>
        </is>
      </c>
      <c r="C4" t="inlineStr">
        <is>
          <t>A(P1a) Grok</t>
        </is>
      </c>
      <c r="D4" t="n">
        <v>89</v>
      </c>
      <c r="E4">
        <f>'Human scores'!I4</f>
        <v/>
      </c>
      <c r="F4">
        <f>'Human scores'!I20</f>
        <v/>
      </c>
      <c r="G4">
        <f>'Human scores'!I36</f>
        <v/>
      </c>
      <c r="H4">
        <f>ROUND(AVERAGE(E4:G4),1)</f>
        <v/>
      </c>
      <c r="I4">
        <f>D4-H4</f>
        <v/>
      </c>
    </row>
    <row r="5">
      <c r="A5" t="inlineStr">
        <is>
          <t>P1a</t>
        </is>
      </c>
      <c r="B5" t="inlineStr">
        <is>
          <t>Requirement 8</t>
        </is>
      </c>
      <c r="C5" t="inlineStr">
        <is>
          <t>A(P1a) Grok</t>
        </is>
      </c>
      <c r="D5" t="n">
        <v>88</v>
      </c>
      <c r="E5">
        <f>'Human scores'!I5</f>
        <v/>
      </c>
      <c r="F5">
        <f>'Human scores'!I21</f>
        <v/>
      </c>
      <c r="G5">
        <f>'Human scores'!I37</f>
        <v/>
      </c>
      <c r="H5">
        <f>ROUND(AVERAGE(E5:G5),1)</f>
        <v/>
      </c>
      <c r="I5">
        <f>D5-H5</f>
        <v/>
      </c>
    </row>
    <row r="6">
      <c r="A6" t="inlineStr">
        <is>
          <t>P1a</t>
        </is>
      </c>
      <c r="B6" t="inlineStr">
        <is>
          <t>Requirement 10</t>
        </is>
      </c>
      <c r="C6" t="inlineStr">
        <is>
          <t>A(P1a) Grok</t>
        </is>
      </c>
      <c r="D6" t="n">
        <v>85</v>
      </c>
      <c r="E6">
        <f>'Human scores'!I6</f>
        <v/>
      </c>
      <c r="F6">
        <f>'Human scores'!I22</f>
        <v/>
      </c>
      <c r="G6">
        <f>'Human scores'!I38</f>
        <v/>
      </c>
      <c r="H6">
        <f>ROUND(AVERAGE(E6:G6),1)</f>
        <v/>
      </c>
      <c r="I6">
        <f>D6-H6</f>
        <v/>
      </c>
    </row>
    <row r="7">
      <c r="A7" t="inlineStr">
        <is>
          <t>P1a</t>
        </is>
      </c>
      <c r="B7" t="inlineStr">
        <is>
          <t>Requirement 12</t>
        </is>
      </c>
      <c r="C7" t="inlineStr">
        <is>
          <t>A(P1a) Grok</t>
        </is>
      </c>
      <c r="D7" t="n">
        <v>83</v>
      </c>
      <c r="E7">
        <f>'Human scores'!I7</f>
        <v/>
      </c>
      <c r="F7">
        <f>'Human scores'!I23</f>
        <v/>
      </c>
      <c r="G7">
        <f>'Human scores'!I39</f>
        <v/>
      </c>
      <c r="H7">
        <f>ROUND(AVERAGE(E7:G7),1)</f>
        <v/>
      </c>
      <c r="I7">
        <f>D7-H7</f>
        <v/>
      </c>
    </row>
    <row r="8">
      <c r="A8" t="inlineStr">
        <is>
          <t>P1b</t>
        </is>
      </c>
      <c r="B8" t="inlineStr">
        <is>
          <t>Requirement 7</t>
        </is>
      </c>
      <c r="C8" t="inlineStr">
        <is>
          <t>A(P1b) Grok</t>
        </is>
      </c>
      <c r="D8" t="n">
        <v>92</v>
      </c>
      <c r="E8">
        <f>'Human scores'!I8</f>
        <v/>
      </c>
      <c r="F8">
        <f>'Human scores'!I24</f>
        <v/>
      </c>
      <c r="G8">
        <f>'Human scores'!I40</f>
        <v/>
      </c>
      <c r="H8">
        <f>ROUND(AVERAGE(E8:G8),1)</f>
        <v/>
      </c>
      <c r="I8">
        <f>D8-H8</f>
        <v/>
      </c>
    </row>
    <row r="9">
      <c r="A9" t="inlineStr">
        <is>
          <t>P1b</t>
        </is>
      </c>
      <c r="B9" t="inlineStr">
        <is>
          <t>Requirement 8</t>
        </is>
      </c>
      <c r="C9" t="inlineStr">
        <is>
          <t>A(P1b) Grok</t>
        </is>
      </c>
      <c r="D9" t="n">
        <v>89</v>
      </c>
      <c r="E9">
        <f>'Human scores'!I9</f>
        <v/>
      </c>
      <c r="F9">
        <f>'Human scores'!I25</f>
        <v/>
      </c>
      <c r="G9">
        <f>'Human scores'!I41</f>
        <v/>
      </c>
      <c r="H9">
        <f>ROUND(AVERAGE(E9:G9),1)</f>
        <v/>
      </c>
      <c r="I9">
        <f>D9-H9</f>
        <v/>
      </c>
    </row>
    <row r="10">
      <c r="A10" t="inlineStr">
        <is>
          <t>P1b</t>
        </is>
      </c>
      <c r="B10" t="inlineStr">
        <is>
          <t>Requirement 10</t>
        </is>
      </c>
      <c r="C10" t="inlineStr">
        <is>
          <t>A(P1b) Grok</t>
        </is>
      </c>
      <c r="D10" t="n">
        <v>87</v>
      </c>
      <c r="E10">
        <f>'Human scores'!I10</f>
        <v/>
      </c>
      <c r="F10">
        <f>'Human scores'!I26</f>
        <v/>
      </c>
      <c r="G10">
        <f>'Human scores'!I42</f>
        <v/>
      </c>
      <c r="H10">
        <f>ROUND(AVERAGE(E10:G10),1)</f>
        <v/>
      </c>
      <c r="I10">
        <f>D10-H10</f>
        <v/>
      </c>
    </row>
    <row r="11">
      <c r="A11" t="inlineStr">
        <is>
          <t>P1b</t>
        </is>
      </c>
      <c r="B11" t="inlineStr">
        <is>
          <t>Requirement 12</t>
        </is>
      </c>
      <c r="C11" t="inlineStr">
        <is>
          <t>A(P1b) Grok</t>
        </is>
      </c>
      <c r="D11" t="n">
        <v>86</v>
      </c>
      <c r="E11">
        <f>'Human scores'!I11</f>
        <v/>
      </c>
      <c r="F11">
        <f>'Human scores'!I27</f>
        <v/>
      </c>
      <c r="G11">
        <f>'Human scores'!I43</f>
        <v/>
      </c>
      <c r="H11">
        <f>ROUND(AVERAGE(E11:G11),1)</f>
        <v/>
      </c>
      <c r="I11">
        <f>D11-H11</f>
        <v/>
      </c>
    </row>
    <row r="12">
      <c r="A12" t="inlineStr">
        <is>
          <t>P2a</t>
        </is>
      </c>
      <c r="B12" t="inlineStr">
        <is>
          <t>Requirement 7</t>
        </is>
      </c>
      <c r="C12" t="inlineStr">
        <is>
          <t>A(P2a) ChatGPT</t>
        </is>
      </c>
      <c r="D12" t="n">
        <v>72</v>
      </c>
      <c r="E12">
        <f>'Human scores'!I12</f>
        <v/>
      </c>
      <c r="F12">
        <f>'Human scores'!I28</f>
        <v/>
      </c>
      <c r="G12">
        <f>'Human scores'!I44</f>
        <v/>
      </c>
      <c r="H12">
        <f>ROUND(AVERAGE(E12:G12),1)</f>
        <v/>
      </c>
      <c r="I12">
        <f>D12-H12</f>
        <v/>
      </c>
    </row>
    <row r="13">
      <c r="A13" t="inlineStr">
        <is>
          <t>P2a</t>
        </is>
      </c>
      <c r="B13" t="inlineStr">
        <is>
          <t>Requirement 8</t>
        </is>
      </c>
      <c r="C13" t="inlineStr">
        <is>
          <t>A(P2a) ChatGPT</t>
        </is>
      </c>
      <c r="D13" t="n">
        <v>72</v>
      </c>
      <c r="E13">
        <f>'Human scores'!I13</f>
        <v/>
      </c>
      <c r="F13">
        <f>'Human scores'!I29</f>
        <v/>
      </c>
      <c r="G13">
        <f>'Human scores'!I45</f>
        <v/>
      </c>
      <c r="H13">
        <f>ROUND(AVERAGE(E13:G13),1)</f>
        <v/>
      </c>
      <c r="I13">
        <f>D13-H13</f>
        <v/>
      </c>
    </row>
    <row r="14">
      <c r="A14" t="inlineStr">
        <is>
          <t>P2a</t>
        </is>
      </c>
      <c r="B14" t="inlineStr">
        <is>
          <t>Requirement 10</t>
        </is>
      </c>
      <c r="C14" t="inlineStr">
        <is>
          <t>A(P2a) ChatGPT</t>
        </is>
      </c>
      <c r="D14" t="n">
        <v>68</v>
      </c>
      <c r="E14">
        <f>'Human scores'!I14</f>
        <v/>
      </c>
      <c r="F14">
        <f>'Human scores'!I30</f>
        <v/>
      </c>
      <c r="G14">
        <f>'Human scores'!I46</f>
        <v/>
      </c>
      <c r="H14">
        <f>ROUND(AVERAGE(E14:G14),1)</f>
        <v/>
      </c>
      <c r="I14">
        <f>D14-H14</f>
        <v/>
      </c>
    </row>
    <row r="15">
      <c r="A15" t="inlineStr">
        <is>
          <t>P2a</t>
        </is>
      </c>
      <c r="B15" t="inlineStr">
        <is>
          <t>Requirement 12</t>
        </is>
      </c>
      <c r="C15" t="inlineStr">
        <is>
          <t>A(P2a) ChatGPT</t>
        </is>
      </c>
      <c r="D15" t="n">
        <v>66</v>
      </c>
      <c r="E15">
        <f>'Human scores'!I15</f>
        <v/>
      </c>
      <c r="F15">
        <f>'Human scores'!I31</f>
        <v/>
      </c>
      <c r="G15">
        <f>'Human scores'!I47</f>
        <v/>
      </c>
      <c r="H15">
        <f>ROUND(AVERAGE(E15:G15),1)</f>
        <v/>
      </c>
      <c r="I15">
        <f>D15-H15</f>
        <v/>
      </c>
    </row>
    <row r="16">
      <c r="A16" t="inlineStr">
        <is>
          <t>P2b</t>
        </is>
      </c>
      <c r="B16" t="inlineStr">
        <is>
          <t>Requirement 7</t>
        </is>
      </c>
      <c r="C16" t="inlineStr">
        <is>
          <t>A(P2b) ChatGPT</t>
        </is>
      </c>
      <c r="D16" t="n">
        <v>93</v>
      </c>
      <c r="E16">
        <f>'Human scores'!I16</f>
        <v/>
      </c>
      <c r="F16">
        <f>'Human scores'!I32</f>
        <v/>
      </c>
      <c r="G16">
        <f>'Human scores'!I48</f>
        <v/>
      </c>
      <c r="H16">
        <f>ROUND(AVERAGE(E16:G16),1)</f>
        <v/>
      </c>
      <c r="I16">
        <f>D16-H16</f>
        <v/>
      </c>
    </row>
    <row r="17">
      <c r="A17" t="inlineStr">
        <is>
          <t>P2b</t>
        </is>
      </c>
      <c r="B17" t="inlineStr">
        <is>
          <t>Requirement 8</t>
        </is>
      </c>
      <c r="C17" t="inlineStr">
        <is>
          <t>A(P2b) ChatGPT</t>
        </is>
      </c>
      <c r="D17" t="n">
        <v>93</v>
      </c>
      <c r="E17">
        <f>'Human scores'!I17</f>
        <v/>
      </c>
      <c r="F17">
        <f>'Human scores'!I33</f>
        <v/>
      </c>
      <c r="G17">
        <f>'Human scores'!I49</f>
        <v/>
      </c>
      <c r="H17">
        <f>ROUND(AVERAGE(E17:G17),1)</f>
        <v/>
      </c>
      <c r="I17">
        <f>D17-H17</f>
        <v/>
      </c>
    </row>
    <row r="18">
      <c r="A18" t="inlineStr">
        <is>
          <t>P2b</t>
        </is>
      </c>
      <c r="B18" t="inlineStr">
        <is>
          <t>Requirement 10</t>
        </is>
      </c>
      <c r="C18" t="inlineStr">
        <is>
          <t>A(P2b) ChatGPT</t>
        </is>
      </c>
      <c r="D18" t="n">
        <v>95</v>
      </c>
      <c r="E18">
        <f>'Human scores'!I18</f>
        <v/>
      </c>
      <c r="F18">
        <f>'Human scores'!I34</f>
        <v/>
      </c>
      <c r="G18">
        <f>'Human scores'!I50</f>
        <v/>
      </c>
      <c r="H18">
        <f>ROUND(AVERAGE(E18:G18),1)</f>
        <v/>
      </c>
      <c r="I18">
        <f>D18-H18</f>
        <v/>
      </c>
    </row>
    <row r="19">
      <c r="A19" t="inlineStr">
        <is>
          <t>P2b</t>
        </is>
      </c>
      <c r="B19" t="inlineStr">
        <is>
          <t>Requirement 12</t>
        </is>
      </c>
      <c r="C19" t="inlineStr">
        <is>
          <t>A(P2b) ChatGPT</t>
        </is>
      </c>
      <c r="D19" t="n">
        <v>89</v>
      </c>
      <c r="E19">
        <f>'Human scores'!I19</f>
        <v/>
      </c>
      <c r="F19">
        <f>'Human scores'!I35</f>
        <v/>
      </c>
      <c r="G19">
        <f>'Human scores'!I51</f>
        <v/>
      </c>
      <c r="H19">
        <f>ROUND(AVERAGE(E19:G19),1)</f>
        <v/>
      </c>
      <c r="I19">
        <f>D19-H19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2026-08-20T20:57:16Z</dcterms:created>
  <dcterms:modified xmlns:dcterms="http://purl.org/dc/terms/" xmlns:xsi="http://www.w3.org/2001/XMLSchema-instance" xsi:type="dcterms:W3CDTF">2026-08-23T03:10:50Z</dcterms:modified>
  <cp:lastModifiedBy>Niluka Senevirathna</cp:lastModifiedBy>
  <cp:revision>0</cp:revision>
</cp:coreProperties>
</file>